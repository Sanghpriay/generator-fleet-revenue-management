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I:\1 Specialist Masters Group\MSBA\2025-2026\01. Module Administration\IB9EO0 Pricing Analytics\1. Assessments\1. Group\"/>
    </mc:Choice>
  </mc:AlternateContent>
  <xr:revisionPtr revIDLastSave="0" documentId="8_{604E964E-C775-4943-8849-D779E3673D32}" xr6:coauthVersionLast="47" xr6:coauthVersionMax="47" xr10:uidLastSave="{00000000-0000-0000-0000-000000000000}"/>
  <bookViews>
    <workbookView xWindow="-110" yWindow="-110" windowWidth="19420" windowHeight="10300" xr2:uid="{D4122EFD-34D0-A94A-9D4A-46B9E3CB58A7}"/>
  </bookViews>
  <sheets>
    <sheet name="Data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2" i="1" l="1"/>
  <c r="T61" i="1"/>
  <c r="P61" i="1"/>
  <c r="L61" i="1"/>
  <c r="H61" i="1"/>
  <c r="D61" i="1"/>
  <c r="T60" i="1"/>
  <c r="P60" i="1"/>
  <c r="L60" i="1"/>
  <c r="H60" i="1"/>
  <c r="D60" i="1"/>
  <c r="T59" i="1"/>
  <c r="P59" i="1"/>
  <c r="L59" i="1"/>
  <c r="H59" i="1"/>
  <c r="D59" i="1"/>
  <c r="T58" i="1"/>
  <c r="P58" i="1"/>
  <c r="L58" i="1"/>
  <c r="H58" i="1"/>
  <c r="D58" i="1"/>
  <c r="T57" i="1"/>
  <c r="P57" i="1"/>
  <c r="L57" i="1"/>
  <c r="H57" i="1"/>
  <c r="D57" i="1"/>
  <c r="T56" i="1"/>
  <c r="P56" i="1"/>
  <c r="L56" i="1"/>
  <c r="H56" i="1"/>
  <c r="D56" i="1"/>
  <c r="T55" i="1"/>
  <c r="P55" i="1"/>
  <c r="L55" i="1"/>
  <c r="H55" i="1"/>
  <c r="D55" i="1"/>
  <c r="T54" i="1"/>
  <c r="P54" i="1"/>
  <c r="L54" i="1"/>
  <c r="H54" i="1"/>
  <c r="D54" i="1"/>
  <c r="T53" i="1"/>
  <c r="P53" i="1"/>
  <c r="L53" i="1"/>
  <c r="H53" i="1"/>
  <c r="D53" i="1"/>
  <c r="T52" i="1"/>
  <c r="P52" i="1"/>
  <c r="L52" i="1"/>
  <c r="H52" i="1"/>
  <c r="D52" i="1"/>
  <c r="T51" i="1"/>
  <c r="P51" i="1"/>
  <c r="L51" i="1"/>
  <c r="H51" i="1"/>
  <c r="D51" i="1"/>
  <c r="T50" i="1"/>
  <c r="P50" i="1"/>
  <c r="L50" i="1"/>
  <c r="H50" i="1"/>
  <c r="D50" i="1"/>
  <c r="T49" i="1"/>
  <c r="P49" i="1"/>
  <c r="L49" i="1"/>
  <c r="H49" i="1"/>
  <c r="D49" i="1"/>
  <c r="T48" i="1"/>
  <c r="P48" i="1"/>
  <c r="L48" i="1"/>
  <c r="H48" i="1"/>
  <c r="D48" i="1"/>
  <c r="T47" i="1"/>
  <c r="P47" i="1"/>
  <c r="L47" i="1"/>
  <c r="H47" i="1"/>
  <c r="D47" i="1"/>
  <c r="T46" i="1"/>
  <c r="P46" i="1"/>
  <c r="L46" i="1"/>
  <c r="H46" i="1"/>
  <c r="D46" i="1"/>
  <c r="T45" i="1"/>
  <c r="P45" i="1"/>
  <c r="L45" i="1"/>
  <c r="H45" i="1"/>
  <c r="D45" i="1"/>
  <c r="T44" i="1"/>
  <c r="P44" i="1"/>
  <c r="L44" i="1"/>
  <c r="H44" i="1"/>
  <c r="D44" i="1"/>
  <c r="T43" i="1"/>
  <c r="P43" i="1"/>
  <c r="L43" i="1"/>
  <c r="H43" i="1"/>
  <c r="D43" i="1"/>
  <c r="T42" i="1"/>
  <c r="P42" i="1"/>
  <c r="L42" i="1"/>
  <c r="H42" i="1"/>
  <c r="D42" i="1"/>
  <c r="T41" i="1"/>
  <c r="P41" i="1"/>
  <c r="L41" i="1"/>
  <c r="H41" i="1"/>
  <c r="D41" i="1"/>
  <c r="T40" i="1"/>
  <c r="P40" i="1"/>
  <c r="L40" i="1"/>
  <c r="H40" i="1"/>
  <c r="D40" i="1"/>
  <c r="T39" i="1"/>
  <c r="P39" i="1"/>
  <c r="L39" i="1"/>
  <c r="H39" i="1"/>
  <c r="D39" i="1"/>
  <c r="T38" i="1"/>
  <c r="P38" i="1"/>
  <c r="L38" i="1"/>
  <c r="H38" i="1"/>
  <c r="D38" i="1"/>
  <c r="T37" i="1"/>
  <c r="P37" i="1"/>
  <c r="L37" i="1"/>
  <c r="H37" i="1"/>
  <c r="D37" i="1"/>
  <c r="T36" i="1"/>
  <c r="P36" i="1"/>
  <c r="L36" i="1"/>
  <c r="H36" i="1"/>
  <c r="D36" i="1"/>
  <c r="T35" i="1"/>
  <c r="P35" i="1"/>
  <c r="L35" i="1"/>
  <c r="H35" i="1"/>
  <c r="D35" i="1"/>
  <c r="T34" i="1"/>
  <c r="P34" i="1"/>
  <c r="L34" i="1"/>
  <c r="H34" i="1"/>
  <c r="D34" i="1"/>
  <c r="T33" i="1"/>
  <c r="P33" i="1"/>
  <c r="L33" i="1"/>
  <c r="H33" i="1"/>
  <c r="D33" i="1"/>
  <c r="T32" i="1"/>
  <c r="P32" i="1"/>
  <c r="L32" i="1"/>
  <c r="H32" i="1"/>
  <c r="D32" i="1"/>
  <c r="T31" i="1"/>
  <c r="P31" i="1"/>
  <c r="L31" i="1"/>
  <c r="H31" i="1"/>
  <c r="D31" i="1"/>
  <c r="T30" i="1"/>
  <c r="P30" i="1"/>
  <c r="L30" i="1"/>
  <c r="H30" i="1"/>
  <c r="D30" i="1"/>
  <c r="T29" i="1"/>
  <c r="P29" i="1"/>
  <c r="L29" i="1"/>
  <c r="H29" i="1"/>
  <c r="D29" i="1"/>
  <c r="T28" i="1"/>
  <c r="P28" i="1"/>
  <c r="L28" i="1"/>
  <c r="H28" i="1"/>
  <c r="D28" i="1"/>
  <c r="P27" i="1"/>
  <c r="L27" i="1"/>
  <c r="H27" i="1"/>
  <c r="D27" i="1"/>
  <c r="P26" i="1"/>
  <c r="L26" i="1"/>
  <c r="H26" i="1"/>
  <c r="D26" i="1"/>
  <c r="P25" i="1"/>
  <c r="L25" i="1"/>
  <c r="H25" i="1"/>
  <c r="D25" i="1"/>
  <c r="P24" i="1"/>
  <c r="L24" i="1"/>
  <c r="H24" i="1"/>
  <c r="D24" i="1"/>
  <c r="P23" i="1"/>
  <c r="L23" i="1"/>
  <c r="H23" i="1"/>
  <c r="D23" i="1"/>
  <c r="P22" i="1"/>
  <c r="L22" i="1"/>
  <c r="H22" i="1"/>
  <c r="D22" i="1"/>
  <c r="P21" i="1"/>
  <c r="L21" i="1"/>
  <c r="H21" i="1"/>
  <c r="D21" i="1"/>
  <c r="P20" i="1"/>
  <c r="L20" i="1"/>
  <c r="H20" i="1"/>
  <c r="D20" i="1"/>
  <c r="L19" i="1"/>
  <c r="H19" i="1"/>
  <c r="D19" i="1"/>
  <c r="L18" i="1"/>
  <c r="H18" i="1"/>
  <c r="D18" i="1"/>
  <c r="L17" i="1"/>
  <c r="H17" i="1"/>
  <c r="D17" i="1"/>
  <c r="L16" i="1"/>
  <c r="H16" i="1"/>
  <c r="D16" i="1"/>
  <c r="H15" i="1"/>
  <c r="D15" i="1"/>
  <c r="H14" i="1"/>
  <c r="D14" i="1"/>
  <c r="H13" i="1"/>
  <c r="D13" i="1"/>
  <c r="D12" i="1"/>
  <c r="C11" i="1"/>
  <c r="C12" i="1" s="1"/>
  <c r="E4" i="1"/>
  <c r="E6" i="1" s="1"/>
  <c r="C13" i="1" l="1"/>
  <c r="C14" i="1" s="1"/>
  <c r="C15" i="1" s="1"/>
  <c r="C16" i="1" s="1"/>
  <c r="C17" i="1" s="1"/>
  <c r="C18" i="1" s="1"/>
  <c r="C19" i="1" l="1"/>
  <c r="C20" i="1" l="1"/>
  <c r="C21" i="1" l="1"/>
  <c r="C22" i="1" l="1"/>
  <c r="C23" i="1" l="1"/>
  <c r="C24" i="1" l="1"/>
  <c r="C25" i="1" l="1"/>
  <c r="C26" i="1" l="1"/>
  <c r="C27" i="1" l="1"/>
  <c r="C28" i="1" l="1"/>
  <c r="C29" i="1" l="1"/>
  <c r="C30" i="1" l="1"/>
  <c r="C31" i="1" l="1"/>
  <c r="C32" i="1" l="1"/>
  <c r="C33" i="1" l="1"/>
  <c r="C34" i="1" l="1"/>
  <c r="C35" i="1" l="1"/>
  <c r="C36" i="1" l="1"/>
  <c r="C37" i="1" l="1"/>
  <c r="C38" i="1" l="1"/>
  <c r="C39" i="1" l="1"/>
  <c r="C40" i="1" l="1"/>
  <c r="C41" i="1" l="1"/>
  <c r="C42" i="1" l="1"/>
  <c r="C43" i="1" l="1"/>
  <c r="C44" i="1" l="1"/>
  <c r="C45" i="1" l="1"/>
  <c r="C46" i="1" l="1"/>
  <c r="C47" i="1" l="1"/>
  <c r="C48" i="1" l="1"/>
  <c r="C49" i="1" l="1"/>
  <c r="C50" i="1" l="1"/>
  <c r="C51" i="1" l="1"/>
  <c r="C52" i="1" l="1"/>
  <c r="C53" i="1" l="1"/>
  <c r="C54" i="1" l="1"/>
  <c r="C55" i="1" l="1"/>
  <c r="C56" i="1" l="1"/>
  <c r="C57" i="1" l="1"/>
  <c r="C58" i="1" l="1"/>
  <c r="C59" i="1" l="1"/>
  <c r="C60" i="1" l="1"/>
  <c r="C61" i="1" l="1"/>
  <c r="C62" i="1" l="1"/>
  <c r="E5" i="1" s="1"/>
</calcChain>
</file>

<file path=xl/sharedStrings.xml><?xml version="1.0" encoding="utf-8"?>
<sst xmlns="http://schemas.openxmlformats.org/spreadsheetml/2006/main" count="47" uniqueCount="34">
  <si>
    <t>PowerLease Generators (PLG):  Branch Weekly Rental Data (Actual 2025)</t>
  </si>
  <si>
    <t>Total number of Generators (units)</t>
  </si>
  <si>
    <t>Initial Inventory (units)</t>
  </si>
  <si>
    <t>Total revenue (actual, £)</t>
  </si>
  <si>
    <t xml:space="preserve">  Decisions made by PLG</t>
  </si>
  <si>
    <t>Unit cost (£)</t>
  </si>
  <si>
    <t>Average load factor</t>
  </si>
  <si>
    <t>Durations (weeks)</t>
  </si>
  <si>
    <t>1, 4, 8, 16</t>
  </si>
  <si>
    <t>ROI (revenue per unit / cost)</t>
  </si>
  <si>
    <t xml:space="preserve">  Due to return based on decisions prior to start of the planning horizon</t>
  </si>
  <si>
    <t>Start of Week</t>
  </si>
  <si>
    <t>1-WK</t>
  </si>
  <si>
    <t>4-WK</t>
  </si>
  <si>
    <t>8-WK</t>
  </si>
  <si>
    <t>16-WK</t>
  </si>
  <si>
    <t xml:space="preserve">Week </t>
  </si>
  <si>
    <t>WK#</t>
  </si>
  <si>
    <t>#Inv.</t>
  </si>
  <si>
    <t>Total Accpt.</t>
  </si>
  <si>
    <t>£/Day</t>
  </si>
  <si>
    <t>Demand</t>
  </si>
  <si>
    <t>Accpt.(Actual)</t>
  </si>
  <si>
    <t>Return</t>
  </si>
  <si>
    <t>CLOSED FOR HOLIDAY</t>
  </si>
  <si>
    <t>Dataset description</t>
  </si>
  <si>
    <t>This workbook contains weekly rental pricing and demand for a single UK branch of PowerLease Generators (PLG) for calendar year 2025.</t>
  </si>
  <si>
    <t>Products are generator rentals of 1, 4, 8, and 16 weeks. Prices are in £ per day; demand and acceptances are in units (generators).</t>
  </si>
  <si>
    <t>Columns:</t>
  </si>
  <si>
    <t>Week: Monday week-starting date.</t>
  </si>
  <si>
    <t>WK#: week index (1–52).</t>
  </si>
  <si>
    <t>#Inv.: available inventory at start of the week (computed from fleet, acceptances, and returns).</t>
  </si>
  <si>
    <t>Total Accpt.: total accepted across all products in that week.</t>
  </si>
  <si>
    <t>For each product block: £/Day, Demand (requests), Accpt.(Actual) (what the branch accepted), Return (units returning that week).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</si>
</sst>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"/>
    <numFmt numFmtId="165" formatCode="0.0%"/>
    <numFmt numFmtId="166" formatCode="yyyy\-mm\-dd"/>
    <numFmt numFmtId="167" formatCode="0.0"/>
  </numFmts>
  <fonts count="9">
    <font>
      <sz val="12"/>
      <color theme="1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8"/>
      <color rgb="FF000000"/>
      <name val="Calibri"/>
      <family val="2"/>
    </font>
    <font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1F2"/>
      </patternFill>
    </fill>
    <fill>
      <patternFill patternType="solid">
        <fgColor rgb="FF305496"/>
      </patternFill>
    </fill>
  </fills>
  <borders count="6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2" borderId="1" xfId="0" applyFill="1" applyBorder="1"/>
    <xf numFmtId="0" fontId="2" fillId="0" borderId="1" xfId="0" applyFont="1" applyBorder="1"/>
    <xf numFmtId="164" fontId="0" fillId="0" borderId="1" xfId="0" applyNumberFormat="1" applyBorder="1"/>
    <xf numFmtId="0" fontId="0" fillId="3" borderId="2" xfId="0" applyFill="1" applyBorder="1"/>
    <xf numFmtId="0" fontId="3" fillId="0" borderId="0" xfId="0" applyFont="1"/>
    <xf numFmtId="165" fontId="0" fillId="0" borderId="1" xfId="0" applyNumberFormat="1" applyBorder="1"/>
    <xf numFmtId="2" fontId="0" fillId="0" borderId="1" xfId="0" applyNumberFormat="1" applyBorder="1"/>
    <xf numFmtId="0" fontId="0" fillId="4" borderId="2" xfId="0" applyFill="1" applyBorder="1"/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1" fontId="5" fillId="0" borderId="5" xfId="0" applyNumberFormat="1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/>
    <xf numFmtId="0" fontId="0" fillId="0" borderId="0" xfId="0" applyAlignment="1"/>
    <xf numFmtId="0" fontId="2" fillId="5" borderId="1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6765-5EDB-C64F-8BB2-884FEEC092C3}">
  <dimension ref="A1:T64"/>
  <sheetViews>
    <sheetView tabSelected="1" topLeftCell="A34" workbookViewId="0">
      <selection activeCell="F64" sqref="F64"/>
    </sheetView>
  </sheetViews>
  <sheetFormatPr defaultColWidth="8.84375" defaultRowHeight="15.5"/>
  <cols>
    <col min="1" max="1" width="28.61328125" bestFit="1" customWidth="1"/>
    <col min="2" max="2" width="8.61328125" bestFit="1" customWidth="1"/>
    <col min="3" max="3" width="8" customWidth="1"/>
    <col min="4" max="4" width="11" customWidth="1"/>
    <col min="5" max="5" width="13.15234375" customWidth="1"/>
    <col min="6" max="6" width="8" customWidth="1"/>
    <col min="7" max="7" width="12" customWidth="1"/>
    <col min="8" max="10" width="8" customWidth="1"/>
    <col min="11" max="11" width="12" customWidth="1"/>
    <col min="12" max="14" width="8" customWidth="1"/>
    <col min="15" max="15" width="12" customWidth="1"/>
    <col min="16" max="18" width="8" customWidth="1"/>
    <col min="19" max="19" width="12" customWidth="1"/>
    <col min="20" max="20" width="8" customWidth="1"/>
  </cols>
  <sheetData>
    <row r="1" spans="1:20" ht="18.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</row>
    <row r="2" spans="1:20" ht="18.5">
      <c r="A2" s="1"/>
    </row>
    <row r="3" spans="1:20">
      <c r="A3" s="2" t="s">
        <v>1</v>
      </c>
      <c r="B3" s="3">
        <v>300</v>
      </c>
    </row>
    <row r="4" spans="1:20">
      <c r="A4" s="2" t="s">
        <v>2</v>
      </c>
      <c r="B4" s="3">
        <v>77</v>
      </c>
      <c r="D4" s="4" t="s">
        <v>3</v>
      </c>
      <c r="E4" s="5">
        <f>7*(SUMPRODUCT(E11:E62,G11:G62)+4*SUMPRODUCT(I11:I62,K11:K62)+8*SUMPRODUCT(M11:M62,O11:O62)+16*SUMPRODUCT(Q11:Q62,S11:S62))</f>
        <v>4650478.7000000011</v>
      </c>
      <c r="H4" s="6"/>
      <c r="I4" s="7" t="s">
        <v>4</v>
      </c>
    </row>
    <row r="5" spans="1:20">
      <c r="A5" s="2" t="s">
        <v>5</v>
      </c>
      <c r="B5" s="3">
        <v>3000</v>
      </c>
      <c r="D5" s="4" t="s">
        <v>6</v>
      </c>
      <c r="E5" s="8">
        <f>(B3-(AVERAGE(C11:C62)))/$B$3</f>
        <v>0.73378205128205132</v>
      </c>
    </row>
    <row r="6" spans="1:20">
      <c r="A6" s="2" t="s">
        <v>7</v>
      </c>
      <c r="B6" s="3" t="s">
        <v>8</v>
      </c>
      <c r="D6" s="4" t="s">
        <v>9</v>
      </c>
      <c r="E6" s="9">
        <f>(E4/B$3)/B$5</f>
        <v>5.1671985555555562</v>
      </c>
      <c r="H6" s="10"/>
      <c r="I6" s="7" t="s">
        <v>10</v>
      </c>
    </row>
    <row r="8" spans="1:20" ht="29">
      <c r="A8" s="11"/>
      <c r="B8" s="11"/>
      <c r="C8" s="11" t="s">
        <v>11</v>
      </c>
      <c r="D8" s="11"/>
      <c r="E8" s="27" t="s">
        <v>12</v>
      </c>
      <c r="F8" s="28"/>
      <c r="G8" s="28"/>
      <c r="H8" s="29"/>
      <c r="I8" s="27" t="s">
        <v>13</v>
      </c>
      <c r="J8" s="28"/>
      <c r="K8" s="28"/>
      <c r="L8" s="29"/>
      <c r="M8" s="27" t="s">
        <v>14</v>
      </c>
      <c r="N8" s="28"/>
      <c r="O8" s="28"/>
      <c r="P8" s="29"/>
      <c r="Q8" s="27" t="s">
        <v>15</v>
      </c>
      <c r="R8" s="28"/>
      <c r="S8" s="28"/>
      <c r="T8" s="29"/>
    </row>
    <row r="9" spans="1:20">
      <c r="A9" s="12" t="s">
        <v>16</v>
      </c>
      <c r="B9" s="12" t="s">
        <v>17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20</v>
      </c>
      <c r="J9" s="12" t="s">
        <v>21</v>
      </c>
      <c r="K9" s="12" t="s">
        <v>22</v>
      </c>
      <c r="L9" s="12" t="s">
        <v>23</v>
      </c>
      <c r="M9" s="12" t="s">
        <v>20</v>
      </c>
      <c r="N9" s="12" t="s">
        <v>21</v>
      </c>
      <c r="O9" s="12" t="s">
        <v>22</v>
      </c>
      <c r="P9" s="12" t="s">
        <v>23</v>
      </c>
      <c r="Q9" s="12" t="s">
        <v>20</v>
      </c>
      <c r="R9" s="12" t="s">
        <v>21</v>
      </c>
      <c r="S9" s="12" t="s">
        <v>22</v>
      </c>
      <c r="T9" s="12" t="s">
        <v>23</v>
      </c>
    </row>
    <row r="11" spans="1:20" ht="21" customHeight="1">
      <c r="A11" s="13">
        <v>45662</v>
      </c>
      <c r="B11" s="14">
        <v>1</v>
      </c>
      <c r="C11" s="14">
        <f>$B$4</f>
        <v>77</v>
      </c>
      <c r="D11" s="14"/>
      <c r="E11" s="23" t="s">
        <v>24</v>
      </c>
      <c r="F11" s="24"/>
      <c r="H11" s="14"/>
      <c r="K11" s="14"/>
      <c r="L11" s="14"/>
      <c r="M11" s="15"/>
      <c r="N11" s="14"/>
      <c r="O11" s="14"/>
      <c r="P11" s="14"/>
      <c r="Q11" s="15"/>
      <c r="R11" s="14"/>
      <c r="S11" s="14"/>
      <c r="T11" s="14"/>
    </row>
    <row r="12" spans="1:20">
      <c r="A12" s="13">
        <v>45669</v>
      </c>
      <c r="B12" s="14">
        <v>2</v>
      </c>
      <c r="C12" s="14">
        <f t="shared" ref="C12:C43" si="0">C11-D11+H12+L12+P12+T12</f>
        <v>102</v>
      </c>
      <c r="D12" s="14">
        <f>G12+K12+O12+S12</f>
        <v>26</v>
      </c>
      <c r="E12" s="15">
        <v>75.099999999999994</v>
      </c>
      <c r="F12" s="14">
        <v>6</v>
      </c>
      <c r="G12" s="16">
        <v>6</v>
      </c>
      <c r="H12" s="17">
        <v>1</v>
      </c>
      <c r="I12" s="15">
        <v>63</v>
      </c>
      <c r="J12" s="14">
        <v>4</v>
      </c>
      <c r="K12" s="16">
        <v>4</v>
      </c>
      <c r="L12" s="17">
        <v>10</v>
      </c>
      <c r="M12" s="15">
        <v>53.7</v>
      </c>
      <c r="N12" s="14">
        <v>10</v>
      </c>
      <c r="O12" s="16">
        <v>10</v>
      </c>
      <c r="P12" s="17">
        <v>10</v>
      </c>
      <c r="Q12" s="15">
        <v>47.9</v>
      </c>
      <c r="R12" s="14">
        <v>6</v>
      </c>
      <c r="S12" s="16">
        <v>6</v>
      </c>
      <c r="T12" s="17">
        <v>4</v>
      </c>
    </row>
    <row r="13" spans="1:20">
      <c r="A13" s="13">
        <v>45676</v>
      </c>
      <c r="B13" s="14">
        <v>3</v>
      </c>
      <c r="C13" s="14">
        <f t="shared" si="0"/>
        <v>101</v>
      </c>
      <c r="D13" s="14">
        <f>G13+K13+O13+S13</f>
        <v>35</v>
      </c>
      <c r="E13" s="15">
        <v>76.8</v>
      </c>
      <c r="F13" s="14">
        <v>10</v>
      </c>
      <c r="G13" s="16">
        <v>10</v>
      </c>
      <c r="H13" s="14">
        <f t="shared" ref="H13:H61" si="1">G12</f>
        <v>6</v>
      </c>
      <c r="I13" s="15">
        <v>62.7</v>
      </c>
      <c r="J13" s="14">
        <v>8</v>
      </c>
      <c r="K13" s="16">
        <v>8</v>
      </c>
      <c r="L13" s="17">
        <v>8</v>
      </c>
      <c r="M13" s="15">
        <v>57.4</v>
      </c>
      <c r="N13" s="14">
        <v>8</v>
      </c>
      <c r="O13" s="16">
        <v>8</v>
      </c>
      <c r="P13" s="17">
        <v>6</v>
      </c>
      <c r="Q13" s="15">
        <v>48.9</v>
      </c>
      <c r="R13" s="14">
        <v>9</v>
      </c>
      <c r="S13" s="16">
        <v>9</v>
      </c>
      <c r="T13" s="17">
        <v>5</v>
      </c>
    </row>
    <row r="14" spans="1:20">
      <c r="A14" s="13">
        <v>45683</v>
      </c>
      <c r="B14" s="14">
        <v>4</v>
      </c>
      <c r="C14" s="14">
        <f t="shared" si="0"/>
        <v>95</v>
      </c>
      <c r="D14" s="14">
        <f t="shared" ref="D14:D62" si="2">G14+K14+O14+S14</f>
        <v>31</v>
      </c>
      <c r="E14" s="15">
        <v>78.2</v>
      </c>
      <c r="F14" s="14">
        <v>8</v>
      </c>
      <c r="G14" s="16">
        <v>8</v>
      </c>
      <c r="H14" s="14">
        <f t="shared" si="1"/>
        <v>10</v>
      </c>
      <c r="I14" s="15">
        <v>62.8</v>
      </c>
      <c r="J14" s="14">
        <v>9</v>
      </c>
      <c r="K14" s="16">
        <v>9</v>
      </c>
      <c r="L14" s="17">
        <v>9</v>
      </c>
      <c r="M14" s="15">
        <v>55.7</v>
      </c>
      <c r="N14" s="14">
        <v>7</v>
      </c>
      <c r="O14" s="16">
        <v>7</v>
      </c>
      <c r="P14" s="17">
        <v>8</v>
      </c>
      <c r="Q14" s="15">
        <v>48.9</v>
      </c>
      <c r="R14" s="14">
        <v>7</v>
      </c>
      <c r="S14" s="16">
        <v>7</v>
      </c>
      <c r="T14" s="17">
        <v>2</v>
      </c>
    </row>
    <row r="15" spans="1:20">
      <c r="A15" s="13">
        <v>45690</v>
      </c>
      <c r="B15" s="14">
        <v>5</v>
      </c>
      <c r="C15" s="14">
        <f t="shared" si="0"/>
        <v>97</v>
      </c>
      <c r="D15" s="14">
        <f t="shared" si="2"/>
        <v>36</v>
      </c>
      <c r="E15" s="15">
        <v>76</v>
      </c>
      <c r="F15" s="14">
        <v>7</v>
      </c>
      <c r="G15" s="16">
        <v>7</v>
      </c>
      <c r="H15" s="14">
        <f t="shared" si="1"/>
        <v>8</v>
      </c>
      <c r="I15" s="15">
        <v>61.1</v>
      </c>
      <c r="J15" s="14">
        <v>10</v>
      </c>
      <c r="K15" s="16">
        <v>10</v>
      </c>
      <c r="L15" s="17">
        <v>12</v>
      </c>
      <c r="M15" s="15">
        <v>58.7</v>
      </c>
      <c r="N15" s="14">
        <v>6</v>
      </c>
      <c r="O15" s="16">
        <v>6</v>
      </c>
      <c r="P15" s="17">
        <v>7</v>
      </c>
      <c r="Q15" s="15">
        <v>46.5</v>
      </c>
      <c r="R15" s="14">
        <v>13</v>
      </c>
      <c r="S15" s="16">
        <v>13</v>
      </c>
      <c r="T15" s="17">
        <v>6</v>
      </c>
    </row>
    <row r="16" spans="1:20">
      <c r="A16" s="13">
        <v>45697</v>
      </c>
      <c r="B16" s="14">
        <v>6</v>
      </c>
      <c r="C16" s="14">
        <f t="shared" si="0"/>
        <v>91</v>
      </c>
      <c r="D16" s="14">
        <f t="shared" si="2"/>
        <v>34</v>
      </c>
      <c r="E16" s="15">
        <v>78.400000000000006</v>
      </c>
      <c r="F16" s="14">
        <v>10</v>
      </c>
      <c r="G16" s="16">
        <v>10</v>
      </c>
      <c r="H16" s="14">
        <f t="shared" si="1"/>
        <v>7</v>
      </c>
      <c r="I16" s="15">
        <v>65.3</v>
      </c>
      <c r="J16" s="14">
        <v>6</v>
      </c>
      <c r="K16" s="16">
        <v>6</v>
      </c>
      <c r="L16" s="14">
        <f t="shared" ref="L16:L61" si="3">K12</f>
        <v>4</v>
      </c>
      <c r="M16" s="15">
        <v>55.5</v>
      </c>
      <c r="N16" s="14">
        <v>6</v>
      </c>
      <c r="O16" s="16">
        <v>6</v>
      </c>
      <c r="P16" s="17">
        <v>9</v>
      </c>
      <c r="Q16" s="15">
        <v>48.8</v>
      </c>
      <c r="R16" s="14">
        <v>12</v>
      </c>
      <c r="S16" s="16">
        <v>12</v>
      </c>
      <c r="T16" s="17">
        <v>10</v>
      </c>
    </row>
    <row r="17" spans="1:20">
      <c r="A17" s="13">
        <v>45704</v>
      </c>
      <c r="B17" s="14">
        <v>7</v>
      </c>
      <c r="C17" s="14">
        <f t="shared" si="0"/>
        <v>90</v>
      </c>
      <c r="D17" s="14">
        <f t="shared" si="2"/>
        <v>30</v>
      </c>
      <c r="E17" s="15">
        <v>78.900000000000006</v>
      </c>
      <c r="F17" s="14">
        <v>6</v>
      </c>
      <c r="G17" s="16">
        <v>6</v>
      </c>
      <c r="H17" s="14">
        <f>G16</f>
        <v>10</v>
      </c>
      <c r="I17" s="15">
        <v>64.599999999999994</v>
      </c>
      <c r="J17" s="14">
        <v>12</v>
      </c>
      <c r="K17" s="16">
        <v>12</v>
      </c>
      <c r="L17" s="14">
        <f>K13</f>
        <v>8</v>
      </c>
      <c r="M17" s="15">
        <v>56.2</v>
      </c>
      <c r="N17" s="14">
        <v>6</v>
      </c>
      <c r="O17" s="16">
        <v>4</v>
      </c>
      <c r="P17" s="17">
        <v>10</v>
      </c>
      <c r="Q17" s="15">
        <v>51.3</v>
      </c>
      <c r="R17" s="14">
        <v>8</v>
      </c>
      <c r="S17" s="16">
        <v>8</v>
      </c>
      <c r="T17" s="17">
        <v>5</v>
      </c>
    </row>
    <row r="18" spans="1:20">
      <c r="A18" s="13">
        <v>45711</v>
      </c>
      <c r="B18" s="14">
        <v>8</v>
      </c>
      <c r="C18" s="14">
        <f t="shared" si="0"/>
        <v>92</v>
      </c>
      <c r="D18" s="14">
        <f t="shared" si="2"/>
        <v>20</v>
      </c>
      <c r="E18" s="15">
        <v>75.3</v>
      </c>
      <c r="F18" s="14">
        <v>5</v>
      </c>
      <c r="G18" s="16">
        <v>5</v>
      </c>
      <c r="H18" s="14">
        <f t="shared" si="1"/>
        <v>6</v>
      </c>
      <c r="I18" s="15">
        <v>67.599999999999994</v>
      </c>
      <c r="J18" s="14">
        <v>5</v>
      </c>
      <c r="K18" s="16">
        <v>5</v>
      </c>
      <c r="L18" s="14">
        <f t="shared" si="3"/>
        <v>9</v>
      </c>
      <c r="M18" s="15">
        <v>57.6</v>
      </c>
      <c r="N18" s="14">
        <v>6</v>
      </c>
      <c r="O18" s="16">
        <v>4</v>
      </c>
      <c r="P18" s="17">
        <v>7</v>
      </c>
      <c r="Q18" s="15">
        <v>46.7</v>
      </c>
      <c r="R18" s="14">
        <v>6</v>
      </c>
      <c r="S18" s="16">
        <v>6</v>
      </c>
      <c r="T18" s="17">
        <v>10</v>
      </c>
    </row>
    <row r="19" spans="1:20">
      <c r="A19" s="13">
        <v>45718</v>
      </c>
      <c r="B19" s="14">
        <v>9</v>
      </c>
      <c r="C19" s="14">
        <f t="shared" si="0"/>
        <v>98</v>
      </c>
      <c r="D19" s="14">
        <f t="shared" si="2"/>
        <v>35</v>
      </c>
      <c r="E19" s="15">
        <v>82.4</v>
      </c>
      <c r="F19" s="14">
        <v>7</v>
      </c>
      <c r="G19" s="16">
        <v>7</v>
      </c>
      <c r="H19" s="14">
        <f t="shared" si="1"/>
        <v>5</v>
      </c>
      <c r="I19" s="15">
        <v>64.900000000000006</v>
      </c>
      <c r="J19" s="14">
        <v>11</v>
      </c>
      <c r="K19" s="16">
        <v>6</v>
      </c>
      <c r="L19" s="14">
        <f t="shared" si="3"/>
        <v>10</v>
      </c>
      <c r="M19" s="15">
        <v>59.3</v>
      </c>
      <c r="N19" s="14">
        <v>12</v>
      </c>
      <c r="O19" s="16">
        <v>11</v>
      </c>
      <c r="P19" s="17">
        <v>3</v>
      </c>
      <c r="Q19" s="15">
        <v>49.9</v>
      </c>
      <c r="R19" s="14">
        <v>11</v>
      </c>
      <c r="S19" s="16">
        <v>11</v>
      </c>
      <c r="T19" s="17">
        <v>8</v>
      </c>
    </row>
    <row r="20" spans="1:20">
      <c r="A20" s="13">
        <v>45725</v>
      </c>
      <c r="B20" s="14">
        <v>10</v>
      </c>
      <c r="C20" s="14">
        <f t="shared" si="0"/>
        <v>92</v>
      </c>
      <c r="D20" s="14">
        <f t="shared" si="2"/>
        <v>33</v>
      </c>
      <c r="E20" s="15">
        <v>82</v>
      </c>
      <c r="F20" s="14">
        <v>10</v>
      </c>
      <c r="G20" s="16">
        <v>10</v>
      </c>
      <c r="H20" s="14">
        <f t="shared" si="1"/>
        <v>7</v>
      </c>
      <c r="I20" s="15">
        <v>62.3</v>
      </c>
      <c r="J20" s="14">
        <v>8</v>
      </c>
      <c r="K20" s="16">
        <v>7</v>
      </c>
      <c r="L20" s="14">
        <f t="shared" si="3"/>
        <v>6</v>
      </c>
      <c r="M20" s="15">
        <v>58.8</v>
      </c>
      <c r="N20" s="14">
        <v>10</v>
      </c>
      <c r="O20" s="16">
        <v>6</v>
      </c>
      <c r="P20" s="14">
        <f t="shared" ref="P20:P61" si="4">O12</f>
        <v>10</v>
      </c>
      <c r="Q20" s="15">
        <v>51.2</v>
      </c>
      <c r="R20" s="14">
        <v>12</v>
      </c>
      <c r="S20" s="16">
        <v>10</v>
      </c>
      <c r="T20" s="17">
        <v>6</v>
      </c>
    </row>
    <row r="21" spans="1:20">
      <c r="A21" s="13">
        <v>45732</v>
      </c>
      <c r="B21" s="14">
        <v>11</v>
      </c>
      <c r="C21" s="14">
        <f t="shared" si="0"/>
        <v>98</v>
      </c>
      <c r="D21" s="14">
        <f t="shared" si="2"/>
        <v>31</v>
      </c>
      <c r="E21" s="15">
        <v>79.400000000000006</v>
      </c>
      <c r="F21" s="14">
        <v>6</v>
      </c>
      <c r="G21" s="16">
        <v>6</v>
      </c>
      <c r="H21" s="14">
        <f t="shared" si="1"/>
        <v>10</v>
      </c>
      <c r="I21" s="15">
        <v>66.2</v>
      </c>
      <c r="J21" s="14">
        <v>13</v>
      </c>
      <c r="K21" s="16">
        <v>11</v>
      </c>
      <c r="L21" s="14">
        <f t="shared" si="3"/>
        <v>12</v>
      </c>
      <c r="M21" s="15">
        <v>56</v>
      </c>
      <c r="N21" s="14">
        <v>7</v>
      </c>
      <c r="O21" s="16">
        <v>7</v>
      </c>
      <c r="P21" s="14">
        <f t="shared" si="4"/>
        <v>8</v>
      </c>
      <c r="Q21" s="15">
        <v>48.8</v>
      </c>
      <c r="R21" s="14">
        <v>8</v>
      </c>
      <c r="S21" s="16">
        <v>7</v>
      </c>
      <c r="T21" s="17">
        <v>9</v>
      </c>
    </row>
    <row r="22" spans="1:20">
      <c r="A22" s="13">
        <v>45739</v>
      </c>
      <c r="B22" s="14">
        <v>12</v>
      </c>
      <c r="C22" s="14">
        <f t="shared" si="0"/>
        <v>97</v>
      </c>
      <c r="D22" s="14">
        <f t="shared" si="2"/>
        <v>35</v>
      </c>
      <c r="E22" s="15">
        <v>81</v>
      </c>
      <c r="F22" s="14">
        <v>8</v>
      </c>
      <c r="G22" s="16">
        <v>8</v>
      </c>
      <c r="H22" s="14">
        <f t="shared" si="1"/>
        <v>6</v>
      </c>
      <c r="I22" s="15">
        <v>70.2</v>
      </c>
      <c r="J22" s="14">
        <v>10</v>
      </c>
      <c r="K22" s="16">
        <v>8</v>
      </c>
      <c r="L22" s="14">
        <f t="shared" si="3"/>
        <v>5</v>
      </c>
      <c r="M22" s="15">
        <v>58.7</v>
      </c>
      <c r="N22" s="14">
        <v>10</v>
      </c>
      <c r="O22" s="16">
        <v>10</v>
      </c>
      <c r="P22" s="14">
        <f t="shared" si="4"/>
        <v>7</v>
      </c>
      <c r="Q22" s="15">
        <v>51</v>
      </c>
      <c r="R22" s="14">
        <v>11</v>
      </c>
      <c r="S22" s="16">
        <v>9</v>
      </c>
      <c r="T22" s="17">
        <v>12</v>
      </c>
    </row>
    <row r="23" spans="1:20">
      <c r="A23" s="13">
        <v>45746</v>
      </c>
      <c r="B23" s="14">
        <v>13</v>
      </c>
      <c r="C23" s="14">
        <f t="shared" si="0"/>
        <v>92</v>
      </c>
      <c r="D23" s="14">
        <f t="shared" si="2"/>
        <v>24</v>
      </c>
      <c r="E23" s="15">
        <v>83</v>
      </c>
      <c r="F23" s="14">
        <v>6</v>
      </c>
      <c r="G23" s="16">
        <v>6</v>
      </c>
      <c r="H23" s="14">
        <f t="shared" si="1"/>
        <v>8</v>
      </c>
      <c r="I23" s="15">
        <v>66.3</v>
      </c>
      <c r="J23" s="14">
        <v>5</v>
      </c>
      <c r="K23" s="16">
        <v>5</v>
      </c>
      <c r="L23" s="14">
        <f t="shared" si="3"/>
        <v>6</v>
      </c>
      <c r="M23" s="15">
        <v>58.7</v>
      </c>
      <c r="N23" s="14">
        <v>6</v>
      </c>
      <c r="O23" s="16">
        <v>6</v>
      </c>
      <c r="P23" s="14">
        <f>O15</f>
        <v>6</v>
      </c>
      <c r="Q23" s="15">
        <v>48.7</v>
      </c>
      <c r="R23" s="14">
        <v>7</v>
      </c>
      <c r="S23" s="16">
        <v>7</v>
      </c>
      <c r="T23" s="17">
        <v>10</v>
      </c>
    </row>
    <row r="24" spans="1:20">
      <c r="A24" s="13">
        <v>45753</v>
      </c>
      <c r="B24" s="14">
        <v>14</v>
      </c>
      <c r="C24" s="14">
        <f t="shared" si="0"/>
        <v>96</v>
      </c>
      <c r="D24" s="14">
        <f>G24+K24+O24+S24</f>
        <v>42</v>
      </c>
      <c r="E24" s="15">
        <v>81.400000000000006</v>
      </c>
      <c r="F24" s="14">
        <v>12</v>
      </c>
      <c r="G24" s="16">
        <v>10</v>
      </c>
      <c r="H24" s="14">
        <f t="shared" si="1"/>
        <v>6</v>
      </c>
      <c r="I24" s="15">
        <v>65.5</v>
      </c>
      <c r="J24" s="14">
        <v>10</v>
      </c>
      <c r="K24" s="16">
        <v>10</v>
      </c>
      <c r="L24" s="14">
        <f t="shared" si="3"/>
        <v>7</v>
      </c>
      <c r="M24" s="15">
        <v>58.2</v>
      </c>
      <c r="N24" s="14">
        <v>10</v>
      </c>
      <c r="O24" s="16">
        <v>9</v>
      </c>
      <c r="P24" s="14">
        <f t="shared" si="4"/>
        <v>6</v>
      </c>
      <c r="Q24" s="15">
        <v>49.3</v>
      </c>
      <c r="R24" s="14">
        <v>13</v>
      </c>
      <c r="S24" s="16">
        <v>13</v>
      </c>
      <c r="T24" s="17">
        <v>9</v>
      </c>
    </row>
    <row r="25" spans="1:20">
      <c r="A25" s="13">
        <v>45760</v>
      </c>
      <c r="B25" s="14">
        <v>15</v>
      </c>
      <c r="C25" s="14">
        <f t="shared" si="0"/>
        <v>87</v>
      </c>
      <c r="D25" s="14">
        <f t="shared" si="2"/>
        <v>28</v>
      </c>
      <c r="E25" s="15">
        <v>81.7</v>
      </c>
      <c r="F25" s="14">
        <v>6</v>
      </c>
      <c r="G25" s="16">
        <v>6</v>
      </c>
      <c r="H25" s="14">
        <f t="shared" si="1"/>
        <v>10</v>
      </c>
      <c r="I25" s="15">
        <v>65.099999999999994</v>
      </c>
      <c r="J25" s="14">
        <v>5</v>
      </c>
      <c r="K25" s="16">
        <v>5</v>
      </c>
      <c r="L25" s="14">
        <f t="shared" si="3"/>
        <v>11</v>
      </c>
      <c r="M25" s="15">
        <v>57.9</v>
      </c>
      <c r="N25" s="14">
        <v>6</v>
      </c>
      <c r="O25" s="16">
        <v>6</v>
      </c>
      <c r="P25" s="14">
        <f t="shared" si="4"/>
        <v>4</v>
      </c>
      <c r="Q25" s="15">
        <v>49.4</v>
      </c>
      <c r="R25" s="14">
        <v>11</v>
      </c>
      <c r="S25" s="16">
        <v>11</v>
      </c>
      <c r="T25" s="17">
        <v>8</v>
      </c>
    </row>
    <row r="26" spans="1:20">
      <c r="A26" s="13">
        <v>45767</v>
      </c>
      <c r="B26" s="14">
        <v>16</v>
      </c>
      <c r="C26" s="14">
        <f t="shared" si="0"/>
        <v>87</v>
      </c>
      <c r="D26" s="14">
        <f t="shared" si="2"/>
        <v>32</v>
      </c>
      <c r="E26" s="15">
        <v>78.900000000000006</v>
      </c>
      <c r="F26" s="14">
        <v>9</v>
      </c>
      <c r="G26" s="16">
        <v>9</v>
      </c>
      <c r="H26" s="14">
        <f t="shared" si="1"/>
        <v>6</v>
      </c>
      <c r="I26" s="15">
        <v>65.599999999999994</v>
      </c>
      <c r="J26" s="14">
        <v>6</v>
      </c>
      <c r="K26" s="16">
        <v>6</v>
      </c>
      <c r="L26" s="14">
        <f t="shared" si="3"/>
        <v>8</v>
      </c>
      <c r="M26" s="15">
        <v>62.3</v>
      </c>
      <c r="N26" s="14">
        <v>8</v>
      </c>
      <c r="O26" s="16">
        <v>8</v>
      </c>
      <c r="P26" s="14">
        <f t="shared" si="4"/>
        <v>4</v>
      </c>
      <c r="Q26" s="15">
        <v>51.1</v>
      </c>
      <c r="R26" s="14">
        <v>9</v>
      </c>
      <c r="S26" s="16">
        <v>9</v>
      </c>
      <c r="T26" s="17">
        <v>10</v>
      </c>
    </row>
    <row r="27" spans="1:20">
      <c r="A27" s="13">
        <v>45774</v>
      </c>
      <c r="B27" s="14">
        <v>17</v>
      </c>
      <c r="C27" s="14">
        <f t="shared" si="0"/>
        <v>89</v>
      </c>
      <c r="D27" s="14">
        <f t="shared" si="2"/>
        <v>49</v>
      </c>
      <c r="E27" s="15">
        <v>84</v>
      </c>
      <c r="F27" s="14">
        <v>16</v>
      </c>
      <c r="G27" s="16">
        <v>16</v>
      </c>
      <c r="H27" s="14">
        <f t="shared" si="1"/>
        <v>9</v>
      </c>
      <c r="I27" s="15">
        <v>67.2</v>
      </c>
      <c r="J27" s="14">
        <v>10</v>
      </c>
      <c r="K27" s="16">
        <v>10</v>
      </c>
      <c r="L27" s="14">
        <f t="shared" si="3"/>
        <v>5</v>
      </c>
      <c r="M27" s="15">
        <v>58.6</v>
      </c>
      <c r="N27" s="14">
        <v>12</v>
      </c>
      <c r="O27" s="16">
        <v>10</v>
      </c>
      <c r="P27" s="14">
        <f t="shared" si="4"/>
        <v>11</v>
      </c>
      <c r="Q27" s="15">
        <v>50.7</v>
      </c>
      <c r="R27" s="14">
        <v>15</v>
      </c>
      <c r="S27" s="16">
        <v>13</v>
      </c>
      <c r="T27" s="17">
        <v>9</v>
      </c>
    </row>
    <row r="28" spans="1:20">
      <c r="A28" s="13">
        <v>45781</v>
      </c>
      <c r="B28" s="14">
        <v>18</v>
      </c>
      <c r="C28" s="14">
        <f t="shared" si="0"/>
        <v>78</v>
      </c>
      <c r="D28" s="14">
        <f t="shared" si="2"/>
        <v>34</v>
      </c>
      <c r="E28" s="15">
        <v>83</v>
      </c>
      <c r="F28" s="14">
        <v>7</v>
      </c>
      <c r="G28" s="16">
        <v>7</v>
      </c>
      <c r="H28" s="14">
        <f t="shared" si="1"/>
        <v>16</v>
      </c>
      <c r="I28" s="15">
        <v>65.400000000000006</v>
      </c>
      <c r="J28" s="14">
        <v>9</v>
      </c>
      <c r="K28" s="16">
        <v>9</v>
      </c>
      <c r="L28" s="14">
        <f t="shared" si="3"/>
        <v>10</v>
      </c>
      <c r="M28" s="15">
        <v>57.9</v>
      </c>
      <c r="N28" s="14">
        <v>10</v>
      </c>
      <c r="O28" s="16">
        <v>10</v>
      </c>
      <c r="P28" s="14">
        <f t="shared" si="4"/>
        <v>6</v>
      </c>
      <c r="Q28" s="15">
        <v>52.3</v>
      </c>
      <c r="R28" s="14">
        <v>9</v>
      </c>
      <c r="S28" s="16">
        <v>8</v>
      </c>
      <c r="T28" s="14">
        <f t="shared" ref="T28:T61" si="5">S12</f>
        <v>6</v>
      </c>
    </row>
    <row r="29" spans="1:20">
      <c r="A29" s="13">
        <v>45788</v>
      </c>
      <c r="B29" s="14">
        <v>19</v>
      </c>
      <c r="C29" s="14">
        <f t="shared" si="0"/>
        <v>72</v>
      </c>
      <c r="D29" s="14">
        <f t="shared" si="2"/>
        <v>40</v>
      </c>
      <c r="E29" s="15">
        <v>83.3</v>
      </c>
      <c r="F29" s="14">
        <v>11</v>
      </c>
      <c r="G29" s="16">
        <v>11</v>
      </c>
      <c r="H29" s="14">
        <f t="shared" si="1"/>
        <v>7</v>
      </c>
      <c r="I29" s="15">
        <v>70.900000000000006</v>
      </c>
      <c r="J29" s="14">
        <v>13</v>
      </c>
      <c r="K29" s="16">
        <v>11</v>
      </c>
      <c r="L29" s="14">
        <f t="shared" si="3"/>
        <v>5</v>
      </c>
      <c r="M29" s="15">
        <v>60.5</v>
      </c>
      <c r="N29" s="14">
        <v>10</v>
      </c>
      <c r="O29" s="16">
        <v>10</v>
      </c>
      <c r="P29" s="14">
        <f t="shared" si="4"/>
        <v>7</v>
      </c>
      <c r="Q29" s="15">
        <v>49.4</v>
      </c>
      <c r="R29" s="14">
        <v>10</v>
      </c>
      <c r="S29" s="16">
        <v>8</v>
      </c>
      <c r="T29" s="14">
        <f t="shared" si="5"/>
        <v>9</v>
      </c>
    </row>
    <row r="30" spans="1:20">
      <c r="A30" s="13">
        <v>45795</v>
      </c>
      <c r="B30" s="14">
        <v>20</v>
      </c>
      <c r="C30" s="14">
        <f t="shared" si="0"/>
        <v>66</v>
      </c>
      <c r="D30" s="14">
        <f t="shared" si="2"/>
        <v>34</v>
      </c>
      <c r="E30" s="15">
        <v>78.8</v>
      </c>
      <c r="F30" s="14">
        <v>9</v>
      </c>
      <c r="G30" s="16">
        <v>9</v>
      </c>
      <c r="H30" s="14">
        <f t="shared" si="1"/>
        <v>11</v>
      </c>
      <c r="I30" s="15">
        <v>67.2</v>
      </c>
      <c r="J30" s="14">
        <v>10</v>
      </c>
      <c r="K30" s="16">
        <v>9</v>
      </c>
      <c r="L30" s="14">
        <f t="shared" si="3"/>
        <v>6</v>
      </c>
      <c r="M30" s="15">
        <v>59.5</v>
      </c>
      <c r="N30" s="14">
        <v>10</v>
      </c>
      <c r="O30" s="16">
        <v>10</v>
      </c>
      <c r="P30" s="14">
        <f t="shared" si="4"/>
        <v>10</v>
      </c>
      <c r="Q30" s="15">
        <v>50.6</v>
      </c>
      <c r="R30" s="14">
        <v>7</v>
      </c>
      <c r="S30" s="16">
        <v>6</v>
      </c>
      <c r="T30" s="14">
        <f t="shared" si="5"/>
        <v>7</v>
      </c>
    </row>
    <row r="31" spans="1:20">
      <c r="A31" s="13">
        <v>45802</v>
      </c>
      <c r="B31" s="14">
        <v>21</v>
      </c>
      <c r="C31" s="14">
        <f t="shared" si="0"/>
        <v>70</v>
      </c>
      <c r="D31" s="14">
        <f t="shared" si="2"/>
        <v>32</v>
      </c>
      <c r="E31" s="15">
        <v>86.5</v>
      </c>
      <c r="F31" s="14">
        <v>12</v>
      </c>
      <c r="G31" s="16">
        <v>10</v>
      </c>
      <c r="H31" s="14">
        <f t="shared" si="1"/>
        <v>9</v>
      </c>
      <c r="I31" s="15">
        <v>67.900000000000006</v>
      </c>
      <c r="J31" s="14">
        <v>13</v>
      </c>
      <c r="K31" s="16">
        <v>11</v>
      </c>
      <c r="L31" s="14">
        <f t="shared" si="3"/>
        <v>10</v>
      </c>
      <c r="M31" s="15">
        <v>59.1</v>
      </c>
      <c r="N31" s="14">
        <v>5</v>
      </c>
      <c r="O31" s="16">
        <v>5</v>
      </c>
      <c r="P31" s="14">
        <f t="shared" si="4"/>
        <v>6</v>
      </c>
      <c r="Q31" s="15">
        <v>52.2</v>
      </c>
      <c r="R31" s="14">
        <v>7</v>
      </c>
      <c r="S31" s="16">
        <v>6</v>
      </c>
      <c r="T31" s="14">
        <f t="shared" si="5"/>
        <v>13</v>
      </c>
    </row>
    <row r="32" spans="1:20">
      <c r="A32" s="13">
        <v>45809</v>
      </c>
      <c r="B32" s="14">
        <v>22</v>
      </c>
      <c r="C32" s="14">
        <f t="shared" si="0"/>
        <v>78</v>
      </c>
      <c r="D32" s="14">
        <f t="shared" si="2"/>
        <v>28</v>
      </c>
      <c r="E32" s="15">
        <v>82.6</v>
      </c>
      <c r="F32" s="14">
        <v>14</v>
      </c>
      <c r="G32" s="16">
        <v>2</v>
      </c>
      <c r="H32" s="14">
        <f t="shared" si="1"/>
        <v>10</v>
      </c>
      <c r="I32" s="15">
        <v>70.400000000000006</v>
      </c>
      <c r="J32" s="14">
        <v>7</v>
      </c>
      <c r="K32" s="16">
        <v>7</v>
      </c>
      <c r="L32" s="14">
        <f t="shared" si="3"/>
        <v>9</v>
      </c>
      <c r="M32" s="15">
        <v>60.4</v>
      </c>
      <c r="N32" s="14">
        <v>10</v>
      </c>
      <c r="O32" s="16">
        <v>8</v>
      </c>
      <c r="P32" s="14">
        <f t="shared" si="4"/>
        <v>9</v>
      </c>
      <c r="Q32" s="15">
        <v>51.5</v>
      </c>
      <c r="R32" s="14">
        <v>11</v>
      </c>
      <c r="S32" s="16">
        <v>11</v>
      </c>
      <c r="T32" s="14">
        <f t="shared" si="5"/>
        <v>12</v>
      </c>
    </row>
    <row r="33" spans="1:20">
      <c r="A33" s="13">
        <v>45816</v>
      </c>
      <c r="B33" s="14">
        <v>23</v>
      </c>
      <c r="C33" s="14">
        <f t="shared" si="0"/>
        <v>77</v>
      </c>
      <c r="D33" s="14">
        <f t="shared" si="2"/>
        <v>45</v>
      </c>
      <c r="E33" s="15">
        <v>81</v>
      </c>
      <c r="F33" s="14">
        <v>15</v>
      </c>
      <c r="G33" s="16">
        <v>15</v>
      </c>
      <c r="H33" s="14">
        <f t="shared" si="1"/>
        <v>2</v>
      </c>
      <c r="I33" s="15">
        <v>70.3</v>
      </c>
      <c r="J33" s="14">
        <v>12</v>
      </c>
      <c r="K33" s="16">
        <v>12</v>
      </c>
      <c r="L33" s="14">
        <f t="shared" si="3"/>
        <v>11</v>
      </c>
      <c r="M33" s="15">
        <v>59.7</v>
      </c>
      <c r="N33" s="14">
        <v>13</v>
      </c>
      <c r="O33" s="16">
        <v>8</v>
      </c>
      <c r="P33" s="14">
        <f t="shared" si="4"/>
        <v>6</v>
      </c>
      <c r="Q33" s="15">
        <v>48.4</v>
      </c>
      <c r="R33" s="14">
        <v>10</v>
      </c>
      <c r="S33" s="16">
        <v>10</v>
      </c>
      <c r="T33" s="14">
        <f t="shared" si="5"/>
        <v>8</v>
      </c>
    </row>
    <row r="34" spans="1:20">
      <c r="A34" s="13">
        <v>45823</v>
      </c>
      <c r="B34" s="14">
        <v>24</v>
      </c>
      <c r="C34" s="14">
        <f t="shared" si="0"/>
        <v>70</v>
      </c>
      <c r="D34" s="14">
        <f t="shared" si="2"/>
        <v>51</v>
      </c>
      <c r="E34" s="15">
        <v>86.6</v>
      </c>
      <c r="F34" s="14">
        <v>18</v>
      </c>
      <c r="G34" s="16">
        <v>18</v>
      </c>
      <c r="H34" s="14">
        <f t="shared" si="1"/>
        <v>15</v>
      </c>
      <c r="I34" s="15">
        <v>66.5</v>
      </c>
      <c r="J34" s="14">
        <v>15</v>
      </c>
      <c r="K34" s="16">
        <v>15</v>
      </c>
      <c r="L34" s="14">
        <f t="shared" si="3"/>
        <v>9</v>
      </c>
      <c r="M34" s="15">
        <v>59.2</v>
      </c>
      <c r="N34" s="14">
        <v>14</v>
      </c>
      <c r="O34" s="16">
        <v>8</v>
      </c>
      <c r="P34" s="14">
        <f t="shared" si="4"/>
        <v>8</v>
      </c>
      <c r="Q34" s="15">
        <v>51.2</v>
      </c>
      <c r="R34" s="14">
        <v>10</v>
      </c>
      <c r="S34" s="16">
        <v>10</v>
      </c>
      <c r="T34" s="14">
        <f t="shared" si="5"/>
        <v>6</v>
      </c>
    </row>
    <row r="35" spans="1:20">
      <c r="A35" s="13">
        <v>45830</v>
      </c>
      <c r="B35" s="14">
        <v>25</v>
      </c>
      <c r="C35" s="14">
        <f t="shared" si="0"/>
        <v>69</v>
      </c>
      <c r="D35" s="14">
        <f t="shared" si="2"/>
        <v>48</v>
      </c>
      <c r="E35" s="15">
        <v>81.099999999999994</v>
      </c>
      <c r="F35" s="14">
        <v>16</v>
      </c>
      <c r="G35" s="16">
        <v>16</v>
      </c>
      <c r="H35" s="14">
        <f t="shared" si="1"/>
        <v>18</v>
      </c>
      <c r="I35" s="15">
        <v>67.3</v>
      </c>
      <c r="J35" s="14">
        <v>14</v>
      </c>
      <c r="K35" s="16">
        <v>6</v>
      </c>
      <c r="L35" s="14">
        <f t="shared" si="3"/>
        <v>11</v>
      </c>
      <c r="M35" s="15">
        <v>60</v>
      </c>
      <c r="N35" s="14">
        <v>12</v>
      </c>
      <c r="O35" s="16">
        <v>12</v>
      </c>
      <c r="P35" s="14">
        <f t="shared" si="4"/>
        <v>10</v>
      </c>
      <c r="Q35" s="15">
        <v>49.3</v>
      </c>
      <c r="R35" s="14">
        <v>16</v>
      </c>
      <c r="S35" s="16">
        <v>14</v>
      </c>
      <c r="T35" s="14">
        <f t="shared" si="5"/>
        <v>11</v>
      </c>
    </row>
    <row r="36" spans="1:20">
      <c r="A36" s="13">
        <v>45837</v>
      </c>
      <c r="B36" s="14">
        <v>26</v>
      </c>
      <c r="C36" s="14">
        <f t="shared" si="0"/>
        <v>64</v>
      </c>
      <c r="D36" s="14">
        <f t="shared" si="2"/>
        <v>44</v>
      </c>
      <c r="E36" s="15">
        <v>77.3</v>
      </c>
      <c r="F36" s="14">
        <v>13</v>
      </c>
      <c r="G36" s="16">
        <v>9</v>
      </c>
      <c r="H36" s="14">
        <f t="shared" si="1"/>
        <v>16</v>
      </c>
      <c r="I36" s="15">
        <v>67.8</v>
      </c>
      <c r="J36" s="14">
        <v>10</v>
      </c>
      <c r="K36" s="16">
        <v>9</v>
      </c>
      <c r="L36" s="14">
        <f t="shared" si="3"/>
        <v>7</v>
      </c>
      <c r="M36" s="15">
        <v>58.5</v>
      </c>
      <c r="N36" s="14">
        <v>14</v>
      </c>
      <c r="O36" s="16">
        <v>14</v>
      </c>
      <c r="P36" s="14">
        <f t="shared" si="4"/>
        <v>10</v>
      </c>
      <c r="Q36" s="15">
        <v>50.3</v>
      </c>
      <c r="R36" s="14">
        <v>12</v>
      </c>
      <c r="S36" s="16">
        <v>12</v>
      </c>
      <c r="T36" s="14">
        <f t="shared" si="5"/>
        <v>10</v>
      </c>
    </row>
    <row r="37" spans="1:20">
      <c r="A37" s="13">
        <v>45844</v>
      </c>
      <c r="B37" s="14">
        <v>27</v>
      </c>
      <c r="C37" s="14">
        <f t="shared" si="0"/>
        <v>58</v>
      </c>
      <c r="D37" s="14">
        <f t="shared" si="2"/>
        <v>41</v>
      </c>
      <c r="E37" s="15">
        <v>79.400000000000006</v>
      </c>
      <c r="F37" s="14">
        <v>13</v>
      </c>
      <c r="G37" s="16">
        <v>13</v>
      </c>
      <c r="H37" s="14">
        <f t="shared" si="1"/>
        <v>9</v>
      </c>
      <c r="I37" s="15">
        <v>65.5</v>
      </c>
      <c r="J37" s="14">
        <v>8</v>
      </c>
      <c r="K37" s="16">
        <v>8</v>
      </c>
      <c r="L37" s="14">
        <f t="shared" si="3"/>
        <v>12</v>
      </c>
      <c r="M37" s="15">
        <v>56.6</v>
      </c>
      <c r="N37" s="14">
        <v>6</v>
      </c>
      <c r="O37" s="16">
        <v>6</v>
      </c>
      <c r="P37" s="14">
        <f t="shared" si="4"/>
        <v>10</v>
      </c>
      <c r="Q37" s="15">
        <v>49.9</v>
      </c>
      <c r="R37" s="14">
        <v>14</v>
      </c>
      <c r="S37" s="16">
        <v>14</v>
      </c>
      <c r="T37" s="14">
        <f t="shared" si="5"/>
        <v>7</v>
      </c>
    </row>
    <row r="38" spans="1:20">
      <c r="A38" s="13">
        <v>45851</v>
      </c>
      <c r="B38" s="14">
        <v>28</v>
      </c>
      <c r="C38" s="14">
        <f t="shared" si="0"/>
        <v>64</v>
      </c>
      <c r="D38" s="14">
        <f t="shared" si="2"/>
        <v>55</v>
      </c>
      <c r="E38" s="15">
        <v>74.400000000000006</v>
      </c>
      <c r="F38" s="14">
        <v>10</v>
      </c>
      <c r="G38" s="16">
        <v>10</v>
      </c>
      <c r="H38" s="14">
        <f t="shared" si="1"/>
        <v>13</v>
      </c>
      <c r="I38" s="15">
        <v>62</v>
      </c>
      <c r="J38" s="14">
        <v>17</v>
      </c>
      <c r="K38" s="16">
        <v>17</v>
      </c>
      <c r="L38" s="14">
        <f t="shared" si="3"/>
        <v>15</v>
      </c>
      <c r="M38" s="15">
        <v>56.7</v>
      </c>
      <c r="N38" s="14">
        <v>16</v>
      </c>
      <c r="O38" s="16">
        <v>16</v>
      </c>
      <c r="P38" s="14">
        <f t="shared" si="4"/>
        <v>10</v>
      </c>
      <c r="Q38" s="15">
        <v>50.9</v>
      </c>
      <c r="R38" s="14">
        <v>13</v>
      </c>
      <c r="S38" s="16">
        <v>12</v>
      </c>
      <c r="T38" s="14">
        <f>S22</f>
        <v>9</v>
      </c>
    </row>
    <row r="39" spans="1:20">
      <c r="A39" s="13">
        <v>45858</v>
      </c>
      <c r="B39" s="14">
        <v>29</v>
      </c>
      <c r="C39" s="14">
        <f t="shared" si="0"/>
        <v>37</v>
      </c>
      <c r="D39" s="14">
        <f t="shared" si="2"/>
        <v>33</v>
      </c>
      <c r="E39" s="15">
        <v>81.8</v>
      </c>
      <c r="F39" s="14">
        <v>9</v>
      </c>
      <c r="G39" s="16">
        <v>5</v>
      </c>
      <c r="H39" s="14">
        <f t="shared" si="1"/>
        <v>10</v>
      </c>
      <c r="I39" s="15">
        <v>66.3</v>
      </c>
      <c r="J39" s="14">
        <v>14</v>
      </c>
      <c r="K39" s="16">
        <v>10</v>
      </c>
      <c r="L39" s="14">
        <f t="shared" si="3"/>
        <v>6</v>
      </c>
      <c r="M39" s="15">
        <v>56</v>
      </c>
      <c r="N39" s="14">
        <v>13</v>
      </c>
      <c r="O39" s="16">
        <v>10</v>
      </c>
      <c r="P39" s="14">
        <f t="shared" si="4"/>
        <v>5</v>
      </c>
      <c r="Q39" s="15">
        <v>49</v>
      </c>
      <c r="R39" s="14">
        <v>10</v>
      </c>
      <c r="S39" s="16">
        <v>8</v>
      </c>
      <c r="T39" s="14">
        <f t="shared" si="5"/>
        <v>7</v>
      </c>
    </row>
    <row r="40" spans="1:20">
      <c r="A40" s="13">
        <v>45865</v>
      </c>
      <c r="B40" s="14">
        <v>30</v>
      </c>
      <c r="C40" s="14">
        <f t="shared" si="0"/>
        <v>39</v>
      </c>
      <c r="D40" s="14">
        <f t="shared" si="2"/>
        <v>39</v>
      </c>
      <c r="E40" s="15">
        <v>77.8</v>
      </c>
      <c r="F40" s="14">
        <v>11</v>
      </c>
      <c r="G40" s="16">
        <v>11</v>
      </c>
      <c r="H40" s="14">
        <f t="shared" si="1"/>
        <v>5</v>
      </c>
      <c r="I40" s="15">
        <v>66.3</v>
      </c>
      <c r="J40" s="14">
        <v>12</v>
      </c>
      <c r="K40" s="16">
        <v>8</v>
      </c>
      <c r="L40" s="14">
        <f t="shared" si="3"/>
        <v>9</v>
      </c>
      <c r="M40" s="15">
        <v>56.9</v>
      </c>
      <c r="N40" s="14">
        <v>10</v>
      </c>
      <c r="O40" s="16">
        <v>10</v>
      </c>
      <c r="P40" s="14">
        <f t="shared" si="4"/>
        <v>8</v>
      </c>
      <c r="Q40" s="15">
        <v>45.8</v>
      </c>
      <c r="R40" s="14">
        <v>10</v>
      </c>
      <c r="S40" s="16">
        <v>10</v>
      </c>
      <c r="T40" s="14">
        <f t="shared" si="5"/>
        <v>13</v>
      </c>
    </row>
    <row r="41" spans="1:20">
      <c r="A41" s="13">
        <v>45872</v>
      </c>
      <c r="B41" s="14">
        <v>31</v>
      </c>
      <c r="C41" s="14">
        <f t="shared" si="0"/>
        <v>38</v>
      </c>
      <c r="D41" s="14">
        <f t="shared" si="2"/>
        <v>32</v>
      </c>
      <c r="E41" s="15">
        <v>76.400000000000006</v>
      </c>
      <c r="F41" s="14">
        <v>14</v>
      </c>
      <c r="G41" s="16">
        <v>14</v>
      </c>
      <c r="H41" s="14">
        <f t="shared" si="1"/>
        <v>11</v>
      </c>
      <c r="I41" s="15">
        <v>65</v>
      </c>
      <c r="J41" s="14">
        <v>9</v>
      </c>
      <c r="K41" s="16">
        <v>3</v>
      </c>
      <c r="L41" s="14">
        <f t="shared" si="3"/>
        <v>8</v>
      </c>
      <c r="M41" s="15">
        <v>54.3</v>
      </c>
      <c r="N41" s="14">
        <v>9</v>
      </c>
      <c r="O41" s="16">
        <v>9</v>
      </c>
      <c r="P41" s="14">
        <f t="shared" si="4"/>
        <v>8</v>
      </c>
      <c r="Q41" s="15">
        <v>46.1</v>
      </c>
      <c r="R41" s="14">
        <v>7</v>
      </c>
      <c r="S41" s="16">
        <v>6</v>
      </c>
      <c r="T41" s="14">
        <f t="shared" si="5"/>
        <v>11</v>
      </c>
    </row>
    <row r="42" spans="1:20">
      <c r="A42" s="13">
        <v>45879</v>
      </c>
      <c r="B42" s="14">
        <v>32</v>
      </c>
      <c r="C42" s="14">
        <f t="shared" si="0"/>
        <v>54</v>
      </c>
      <c r="D42" s="14">
        <f t="shared" si="2"/>
        <v>30</v>
      </c>
      <c r="E42" s="15">
        <v>80.099999999999994</v>
      </c>
      <c r="F42" s="14">
        <v>12</v>
      </c>
      <c r="G42" s="16">
        <v>12</v>
      </c>
      <c r="H42" s="14">
        <f t="shared" si="1"/>
        <v>14</v>
      </c>
      <c r="I42" s="15">
        <v>61.9</v>
      </c>
      <c r="J42" s="14">
        <v>8</v>
      </c>
      <c r="K42" s="16">
        <v>8</v>
      </c>
      <c r="L42" s="14">
        <f t="shared" si="3"/>
        <v>17</v>
      </c>
      <c r="M42" s="15">
        <v>52.7</v>
      </c>
      <c r="N42" s="14">
        <v>6</v>
      </c>
      <c r="O42" s="16">
        <v>6</v>
      </c>
      <c r="P42" s="14">
        <f t="shared" si="4"/>
        <v>8</v>
      </c>
      <c r="Q42" s="15">
        <v>48.8</v>
      </c>
      <c r="R42" s="14">
        <v>6</v>
      </c>
      <c r="S42" s="16">
        <v>4</v>
      </c>
      <c r="T42" s="14">
        <f t="shared" si="5"/>
        <v>9</v>
      </c>
    </row>
    <row r="43" spans="1:20">
      <c r="A43" s="13">
        <v>45886</v>
      </c>
      <c r="B43" s="14">
        <v>33</v>
      </c>
      <c r="C43" s="14">
        <f t="shared" si="0"/>
        <v>71</v>
      </c>
      <c r="D43" s="14">
        <f t="shared" si="2"/>
        <v>44</v>
      </c>
      <c r="E43" s="15">
        <v>73.2</v>
      </c>
      <c r="F43" s="14">
        <v>14</v>
      </c>
      <c r="G43" s="16">
        <v>14</v>
      </c>
      <c r="H43" s="14">
        <f t="shared" si="1"/>
        <v>12</v>
      </c>
      <c r="I43" s="15">
        <v>62.9</v>
      </c>
      <c r="J43" s="14">
        <v>5</v>
      </c>
      <c r="K43" s="16">
        <v>5</v>
      </c>
      <c r="L43" s="14">
        <f t="shared" si="3"/>
        <v>10</v>
      </c>
      <c r="M43" s="15">
        <v>55.5</v>
      </c>
      <c r="N43" s="14">
        <v>13</v>
      </c>
      <c r="O43" s="16">
        <v>13</v>
      </c>
      <c r="P43" s="14">
        <f t="shared" si="4"/>
        <v>12</v>
      </c>
      <c r="Q43" s="15">
        <v>47.1</v>
      </c>
      <c r="R43" s="14">
        <v>12</v>
      </c>
      <c r="S43" s="16">
        <v>12</v>
      </c>
      <c r="T43" s="14">
        <f t="shared" si="5"/>
        <v>13</v>
      </c>
    </row>
    <row r="44" spans="1:20">
      <c r="A44" s="13">
        <v>45893</v>
      </c>
      <c r="B44" s="14">
        <v>34</v>
      </c>
      <c r="C44" s="14">
        <f t="shared" ref="C44:C62" si="6">C43-D43+H44+L44+P44+T44</f>
        <v>71</v>
      </c>
      <c r="D44" s="14">
        <f t="shared" si="2"/>
        <v>41</v>
      </c>
      <c r="E44" s="15">
        <v>77.7</v>
      </c>
      <c r="F44" s="14">
        <v>10</v>
      </c>
      <c r="G44" s="16">
        <v>10</v>
      </c>
      <c r="H44" s="14">
        <f t="shared" si="1"/>
        <v>14</v>
      </c>
      <c r="I44" s="15">
        <v>61.7</v>
      </c>
      <c r="J44" s="14">
        <v>12</v>
      </c>
      <c r="K44" s="16">
        <v>12</v>
      </c>
      <c r="L44" s="14">
        <f t="shared" si="3"/>
        <v>8</v>
      </c>
      <c r="M44" s="15">
        <v>52.7</v>
      </c>
      <c r="N44" s="14">
        <v>12</v>
      </c>
      <c r="O44" s="16">
        <v>12</v>
      </c>
      <c r="P44" s="14">
        <f t="shared" si="4"/>
        <v>14</v>
      </c>
      <c r="Q44" s="15">
        <v>48.7</v>
      </c>
      <c r="R44" s="14">
        <v>10</v>
      </c>
      <c r="S44" s="16">
        <v>7</v>
      </c>
      <c r="T44" s="14">
        <f t="shared" si="5"/>
        <v>8</v>
      </c>
    </row>
    <row r="45" spans="1:20">
      <c r="A45" s="13">
        <v>45900</v>
      </c>
      <c r="B45" s="14">
        <v>35</v>
      </c>
      <c r="C45" s="14">
        <f t="shared" si="6"/>
        <v>57</v>
      </c>
      <c r="D45" s="14">
        <f t="shared" si="2"/>
        <v>24</v>
      </c>
      <c r="E45" s="15">
        <v>71.3</v>
      </c>
      <c r="F45" s="14">
        <v>12</v>
      </c>
      <c r="G45" s="16">
        <v>3</v>
      </c>
      <c r="H45" s="14">
        <f t="shared" si="1"/>
        <v>10</v>
      </c>
      <c r="I45" s="15">
        <v>61.8</v>
      </c>
      <c r="J45" s="14">
        <v>11</v>
      </c>
      <c r="K45" s="16">
        <v>3</v>
      </c>
      <c r="L45" s="14">
        <f t="shared" si="3"/>
        <v>3</v>
      </c>
      <c r="M45" s="15">
        <v>51.4</v>
      </c>
      <c r="N45" s="14">
        <v>13</v>
      </c>
      <c r="O45" s="16">
        <v>11</v>
      </c>
      <c r="P45" s="14">
        <f t="shared" si="4"/>
        <v>6</v>
      </c>
      <c r="Q45" s="15">
        <v>47.1</v>
      </c>
      <c r="R45" s="14">
        <v>10</v>
      </c>
      <c r="S45" s="16">
        <v>7</v>
      </c>
      <c r="T45" s="14">
        <f t="shared" si="5"/>
        <v>8</v>
      </c>
    </row>
    <row r="46" spans="1:20">
      <c r="A46" s="13">
        <v>45907</v>
      </c>
      <c r="B46" s="14">
        <v>36</v>
      </c>
      <c r="C46" s="14">
        <f t="shared" si="6"/>
        <v>66</v>
      </c>
      <c r="D46" s="14">
        <f t="shared" si="2"/>
        <v>24</v>
      </c>
      <c r="E46" s="15">
        <v>74</v>
      </c>
      <c r="F46" s="14">
        <v>12</v>
      </c>
      <c r="G46" s="16">
        <v>4</v>
      </c>
      <c r="H46" s="14">
        <f t="shared" si="1"/>
        <v>3</v>
      </c>
      <c r="I46" s="15">
        <v>64.400000000000006</v>
      </c>
      <c r="J46" s="14">
        <v>15</v>
      </c>
      <c r="K46" s="16">
        <v>6</v>
      </c>
      <c r="L46" s="14">
        <f t="shared" si="3"/>
        <v>8</v>
      </c>
      <c r="M46" s="15">
        <v>54.8</v>
      </c>
      <c r="N46" s="14">
        <v>11</v>
      </c>
      <c r="O46" s="16">
        <v>3</v>
      </c>
      <c r="P46" s="14">
        <f t="shared" si="4"/>
        <v>16</v>
      </c>
      <c r="Q46" s="15">
        <v>45.4</v>
      </c>
      <c r="R46" s="14">
        <v>11</v>
      </c>
      <c r="S46" s="16">
        <v>11</v>
      </c>
      <c r="T46" s="14">
        <f t="shared" si="5"/>
        <v>6</v>
      </c>
    </row>
    <row r="47" spans="1:20">
      <c r="A47" s="13">
        <v>45914</v>
      </c>
      <c r="B47" s="14">
        <v>37</v>
      </c>
      <c r="C47" s="14">
        <f t="shared" si="6"/>
        <v>67</v>
      </c>
      <c r="D47" s="14">
        <f t="shared" si="2"/>
        <v>52</v>
      </c>
      <c r="E47" s="15">
        <v>72.3</v>
      </c>
      <c r="F47" s="14">
        <v>15</v>
      </c>
      <c r="G47" s="16">
        <v>15</v>
      </c>
      <c r="H47" s="14">
        <f t="shared" si="1"/>
        <v>4</v>
      </c>
      <c r="I47" s="15">
        <v>64.400000000000006</v>
      </c>
      <c r="J47" s="14">
        <v>12</v>
      </c>
      <c r="K47" s="16">
        <v>12</v>
      </c>
      <c r="L47" s="14">
        <f t="shared" si="3"/>
        <v>5</v>
      </c>
      <c r="M47" s="15">
        <v>52.7</v>
      </c>
      <c r="N47" s="14">
        <v>10</v>
      </c>
      <c r="O47" s="16">
        <v>8</v>
      </c>
      <c r="P47" s="14">
        <f t="shared" si="4"/>
        <v>10</v>
      </c>
      <c r="Q47" s="15">
        <v>47.7</v>
      </c>
      <c r="R47" s="14">
        <v>17</v>
      </c>
      <c r="S47" s="16">
        <v>17</v>
      </c>
      <c r="T47" s="14">
        <f t="shared" si="5"/>
        <v>6</v>
      </c>
    </row>
    <row r="48" spans="1:20">
      <c r="A48" s="13">
        <v>45921</v>
      </c>
      <c r="B48" s="14">
        <v>38</v>
      </c>
      <c r="C48" s="14">
        <f t="shared" si="6"/>
        <v>63</v>
      </c>
      <c r="D48" s="14">
        <f t="shared" si="2"/>
        <v>29</v>
      </c>
      <c r="E48" s="15">
        <v>77.900000000000006</v>
      </c>
      <c r="F48" s="14">
        <v>10</v>
      </c>
      <c r="G48" s="16">
        <v>10</v>
      </c>
      <c r="H48" s="14">
        <f t="shared" si="1"/>
        <v>15</v>
      </c>
      <c r="I48" s="15">
        <v>62.5</v>
      </c>
      <c r="J48" s="14">
        <v>7</v>
      </c>
      <c r="K48" s="16">
        <v>4</v>
      </c>
      <c r="L48" s="14">
        <f t="shared" si="3"/>
        <v>12</v>
      </c>
      <c r="M48" s="15">
        <v>54.4</v>
      </c>
      <c r="N48" s="14">
        <v>5</v>
      </c>
      <c r="O48" s="16">
        <v>4</v>
      </c>
      <c r="P48" s="14">
        <f t="shared" si="4"/>
        <v>10</v>
      </c>
      <c r="Q48" s="15">
        <v>44.8</v>
      </c>
      <c r="R48" s="14">
        <v>11</v>
      </c>
      <c r="S48" s="16">
        <v>11</v>
      </c>
      <c r="T48" s="14">
        <f t="shared" si="5"/>
        <v>11</v>
      </c>
    </row>
    <row r="49" spans="1:20">
      <c r="A49" s="13">
        <v>45928</v>
      </c>
      <c r="B49" s="14">
        <v>39</v>
      </c>
      <c r="C49" s="14">
        <f t="shared" si="6"/>
        <v>66</v>
      </c>
      <c r="D49" s="14">
        <f t="shared" si="2"/>
        <v>32</v>
      </c>
      <c r="E49" s="15">
        <v>78.2</v>
      </c>
      <c r="F49" s="14">
        <v>12</v>
      </c>
      <c r="G49" s="16">
        <v>12</v>
      </c>
      <c r="H49" s="14">
        <f t="shared" si="1"/>
        <v>10</v>
      </c>
      <c r="I49" s="15">
        <v>61.9</v>
      </c>
      <c r="J49" s="14">
        <v>8</v>
      </c>
      <c r="K49" s="16">
        <v>8</v>
      </c>
      <c r="L49" s="14">
        <f t="shared" si="3"/>
        <v>3</v>
      </c>
      <c r="M49" s="15">
        <v>52.5</v>
      </c>
      <c r="N49" s="14">
        <v>8</v>
      </c>
      <c r="O49" s="16">
        <v>2</v>
      </c>
      <c r="P49" s="14">
        <f t="shared" si="4"/>
        <v>9</v>
      </c>
      <c r="Q49" s="15">
        <v>42.9</v>
      </c>
      <c r="R49" s="14">
        <v>10</v>
      </c>
      <c r="S49" s="16">
        <v>10</v>
      </c>
      <c r="T49" s="14">
        <f t="shared" si="5"/>
        <v>10</v>
      </c>
    </row>
    <row r="50" spans="1:20">
      <c r="A50" s="13">
        <v>45935</v>
      </c>
      <c r="B50" s="14">
        <v>40</v>
      </c>
      <c r="C50" s="14">
        <f t="shared" si="6"/>
        <v>68</v>
      </c>
      <c r="D50" s="14">
        <f t="shared" si="2"/>
        <v>31</v>
      </c>
      <c r="E50" s="15">
        <v>73.2</v>
      </c>
      <c r="F50" s="14">
        <v>13</v>
      </c>
      <c r="G50" s="16">
        <v>8</v>
      </c>
      <c r="H50" s="14">
        <f t="shared" si="1"/>
        <v>12</v>
      </c>
      <c r="I50" s="15">
        <v>61.9</v>
      </c>
      <c r="J50" s="14">
        <v>10</v>
      </c>
      <c r="K50" s="16">
        <v>5</v>
      </c>
      <c r="L50" s="14">
        <f t="shared" si="3"/>
        <v>6</v>
      </c>
      <c r="M50" s="15">
        <v>51.3</v>
      </c>
      <c r="N50" s="14">
        <v>12</v>
      </c>
      <c r="O50" s="16">
        <v>7</v>
      </c>
      <c r="P50" s="14">
        <f t="shared" si="4"/>
        <v>6</v>
      </c>
      <c r="Q50" s="15">
        <v>48.3</v>
      </c>
      <c r="R50" s="14">
        <v>12</v>
      </c>
      <c r="S50" s="16">
        <v>11</v>
      </c>
      <c r="T50" s="14">
        <f t="shared" si="5"/>
        <v>10</v>
      </c>
    </row>
    <row r="51" spans="1:20">
      <c r="A51" s="13">
        <v>45942</v>
      </c>
      <c r="B51" s="14">
        <v>41</v>
      </c>
      <c r="C51" s="14">
        <f t="shared" si="6"/>
        <v>84</v>
      </c>
      <c r="D51" s="14">
        <f t="shared" si="2"/>
        <v>25</v>
      </c>
      <c r="E51" s="15">
        <v>75.599999999999994</v>
      </c>
      <c r="F51" s="14">
        <v>10</v>
      </c>
      <c r="G51" s="16">
        <v>10</v>
      </c>
      <c r="H51" s="14">
        <f t="shared" si="1"/>
        <v>8</v>
      </c>
      <c r="I51" s="15">
        <v>60.4</v>
      </c>
      <c r="J51" s="14">
        <v>6</v>
      </c>
      <c r="K51" s="16">
        <v>3</v>
      </c>
      <c r="L51" s="14">
        <f t="shared" si="3"/>
        <v>12</v>
      </c>
      <c r="M51" s="15">
        <v>50.9</v>
      </c>
      <c r="N51" s="14">
        <v>6</v>
      </c>
      <c r="O51" s="16">
        <v>6</v>
      </c>
      <c r="P51" s="14">
        <f t="shared" si="4"/>
        <v>13</v>
      </c>
      <c r="Q51" s="15">
        <v>42.8</v>
      </c>
      <c r="R51" s="14">
        <v>6</v>
      </c>
      <c r="S51" s="16">
        <v>6</v>
      </c>
      <c r="T51" s="14">
        <f t="shared" si="5"/>
        <v>14</v>
      </c>
    </row>
    <row r="52" spans="1:20">
      <c r="A52" s="13">
        <v>45949</v>
      </c>
      <c r="B52" s="14">
        <v>42</v>
      </c>
      <c r="C52" s="14">
        <f t="shared" si="6"/>
        <v>97</v>
      </c>
      <c r="D52" s="14">
        <f t="shared" si="2"/>
        <v>27</v>
      </c>
      <c r="E52" s="15">
        <v>73.099999999999994</v>
      </c>
      <c r="F52" s="14">
        <v>9</v>
      </c>
      <c r="G52" s="16">
        <v>2</v>
      </c>
      <c r="H52" s="14">
        <f t="shared" si="1"/>
        <v>10</v>
      </c>
      <c r="I52" s="15">
        <v>60.2</v>
      </c>
      <c r="J52" s="14">
        <v>9</v>
      </c>
      <c r="K52" s="16">
        <v>7</v>
      </c>
      <c r="L52" s="14">
        <f t="shared" si="3"/>
        <v>4</v>
      </c>
      <c r="M52" s="15">
        <v>52</v>
      </c>
      <c r="N52" s="14">
        <v>10</v>
      </c>
      <c r="O52" s="16">
        <v>8</v>
      </c>
      <c r="P52" s="14">
        <f t="shared" si="4"/>
        <v>12</v>
      </c>
      <c r="Q52" s="15">
        <v>46.1</v>
      </c>
      <c r="R52" s="14">
        <v>10</v>
      </c>
      <c r="S52" s="16">
        <v>10</v>
      </c>
      <c r="T52" s="14">
        <f t="shared" si="5"/>
        <v>12</v>
      </c>
    </row>
    <row r="53" spans="1:20">
      <c r="A53" s="13">
        <v>45956</v>
      </c>
      <c r="B53" s="14">
        <v>43</v>
      </c>
      <c r="C53" s="14">
        <f t="shared" si="6"/>
        <v>105</v>
      </c>
      <c r="D53" s="14">
        <f t="shared" si="2"/>
        <v>33</v>
      </c>
      <c r="E53" s="15">
        <v>74.599999999999994</v>
      </c>
      <c r="F53" s="14">
        <v>7</v>
      </c>
      <c r="G53" s="16">
        <v>7</v>
      </c>
      <c r="H53" s="14">
        <f t="shared" si="1"/>
        <v>2</v>
      </c>
      <c r="I53" s="15">
        <v>59</v>
      </c>
      <c r="J53" s="14">
        <v>10</v>
      </c>
      <c r="K53" s="16">
        <v>10</v>
      </c>
      <c r="L53" s="14">
        <f t="shared" si="3"/>
        <v>8</v>
      </c>
      <c r="M53" s="15">
        <v>52.3</v>
      </c>
      <c r="N53" s="14">
        <v>10</v>
      </c>
      <c r="O53" s="16">
        <v>9</v>
      </c>
      <c r="P53" s="14">
        <f t="shared" si="4"/>
        <v>11</v>
      </c>
      <c r="Q53" s="15">
        <v>46.4</v>
      </c>
      <c r="R53" s="14">
        <v>7</v>
      </c>
      <c r="S53" s="16">
        <v>7</v>
      </c>
      <c r="T53" s="14">
        <f t="shared" si="5"/>
        <v>14</v>
      </c>
    </row>
    <row r="54" spans="1:20">
      <c r="A54" s="13">
        <v>45963</v>
      </c>
      <c r="B54" s="14">
        <v>44</v>
      </c>
      <c r="C54" s="14">
        <f t="shared" si="6"/>
        <v>99</v>
      </c>
      <c r="D54" s="14">
        <f t="shared" si="2"/>
        <v>25</v>
      </c>
      <c r="E54" s="15">
        <v>71.7</v>
      </c>
      <c r="F54" s="14">
        <v>9</v>
      </c>
      <c r="G54" s="16">
        <v>7</v>
      </c>
      <c r="H54" s="14">
        <f t="shared" si="1"/>
        <v>7</v>
      </c>
      <c r="I54" s="15">
        <v>60.1</v>
      </c>
      <c r="J54" s="14">
        <v>11</v>
      </c>
      <c r="K54" s="16">
        <v>9</v>
      </c>
      <c r="L54" s="14">
        <f t="shared" si="3"/>
        <v>5</v>
      </c>
      <c r="M54" s="15">
        <v>51.3</v>
      </c>
      <c r="N54" s="14">
        <v>6</v>
      </c>
      <c r="O54" s="16">
        <v>5</v>
      </c>
      <c r="P54" s="14">
        <f t="shared" si="4"/>
        <v>3</v>
      </c>
      <c r="Q54" s="15">
        <v>45.3</v>
      </c>
      <c r="R54" s="14">
        <v>8</v>
      </c>
      <c r="S54" s="16">
        <v>4</v>
      </c>
      <c r="T54" s="14">
        <f t="shared" si="5"/>
        <v>12</v>
      </c>
    </row>
    <row r="55" spans="1:20">
      <c r="A55" s="13">
        <v>45970</v>
      </c>
      <c r="B55" s="14">
        <v>45</v>
      </c>
      <c r="C55" s="14">
        <f t="shared" si="6"/>
        <v>100</v>
      </c>
      <c r="D55" s="14">
        <f t="shared" si="2"/>
        <v>32</v>
      </c>
      <c r="E55" s="15">
        <v>69.599999999999994</v>
      </c>
      <c r="F55" s="14">
        <v>9</v>
      </c>
      <c r="G55" s="16">
        <v>9</v>
      </c>
      <c r="H55" s="14">
        <f t="shared" si="1"/>
        <v>7</v>
      </c>
      <c r="I55" s="15">
        <v>64.3</v>
      </c>
      <c r="J55" s="14">
        <v>12</v>
      </c>
      <c r="K55" s="16">
        <v>8</v>
      </c>
      <c r="L55" s="14">
        <f t="shared" si="3"/>
        <v>3</v>
      </c>
      <c r="M55" s="15">
        <v>52.2</v>
      </c>
      <c r="N55" s="14">
        <v>6</v>
      </c>
      <c r="O55" s="16">
        <v>6</v>
      </c>
      <c r="P55" s="14">
        <f t="shared" si="4"/>
        <v>8</v>
      </c>
      <c r="Q55" s="15">
        <v>42.9</v>
      </c>
      <c r="R55" s="14">
        <v>9</v>
      </c>
      <c r="S55" s="16">
        <v>9</v>
      </c>
      <c r="T55" s="14">
        <f t="shared" si="5"/>
        <v>8</v>
      </c>
    </row>
    <row r="56" spans="1:20">
      <c r="A56" s="13">
        <v>45977</v>
      </c>
      <c r="B56" s="14">
        <v>46</v>
      </c>
      <c r="C56" s="14">
        <f t="shared" si="6"/>
        <v>98</v>
      </c>
      <c r="D56" s="14">
        <f t="shared" si="2"/>
        <v>31</v>
      </c>
      <c r="E56" s="15">
        <v>69.400000000000006</v>
      </c>
      <c r="F56" s="14">
        <v>11</v>
      </c>
      <c r="G56" s="16">
        <v>11</v>
      </c>
      <c r="H56" s="14">
        <f t="shared" si="1"/>
        <v>9</v>
      </c>
      <c r="I56" s="15">
        <v>61.8</v>
      </c>
      <c r="J56" s="14">
        <v>8</v>
      </c>
      <c r="K56" s="16">
        <v>6</v>
      </c>
      <c r="L56" s="14">
        <f t="shared" si="3"/>
        <v>7</v>
      </c>
      <c r="M56" s="15">
        <v>50.3</v>
      </c>
      <c r="N56" s="14">
        <v>9</v>
      </c>
      <c r="O56" s="16">
        <v>9</v>
      </c>
      <c r="P56" s="14">
        <f t="shared" si="4"/>
        <v>4</v>
      </c>
      <c r="Q56" s="15">
        <v>46.6</v>
      </c>
      <c r="R56" s="14">
        <v>5</v>
      </c>
      <c r="S56" s="16">
        <v>5</v>
      </c>
      <c r="T56" s="14">
        <f t="shared" si="5"/>
        <v>10</v>
      </c>
    </row>
    <row r="57" spans="1:20">
      <c r="A57" s="13">
        <v>45984</v>
      </c>
      <c r="B57" s="14">
        <v>47</v>
      </c>
      <c r="C57" s="14">
        <f t="shared" si="6"/>
        <v>96</v>
      </c>
      <c r="D57" s="14">
        <f t="shared" si="2"/>
        <v>30</v>
      </c>
      <c r="E57" s="15">
        <v>74.400000000000006</v>
      </c>
      <c r="F57" s="14">
        <v>7</v>
      </c>
      <c r="G57" s="16">
        <v>7</v>
      </c>
      <c r="H57" s="14">
        <f t="shared" si="1"/>
        <v>11</v>
      </c>
      <c r="I57" s="15">
        <v>59.7</v>
      </c>
      <c r="J57" s="14">
        <v>9</v>
      </c>
      <c r="K57" s="16">
        <v>6</v>
      </c>
      <c r="L57" s="14">
        <f t="shared" si="3"/>
        <v>10</v>
      </c>
      <c r="M57" s="15">
        <v>52.8</v>
      </c>
      <c r="N57" s="14">
        <v>11</v>
      </c>
      <c r="O57" s="16">
        <v>11</v>
      </c>
      <c r="P57" s="14">
        <f t="shared" si="4"/>
        <v>2</v>
      </c>
      <c r="Q57" s="15">
        <v>43.3</v>
      </c>
      <c r="R57" s="14">
        <v>6</v>
      </c>
      <c r="S57" s="16">
        <v>6</v>
      </c>
      <c r="T57" s="14">
        <f t="shared" si="5"/>
        <v>6</v>
      </c>
    </row>
    <row r="58" spans="1:20">
      <c r="A58" s="13">
        <v>45991</v>
      </c>
      <c r="B58" s="14">
        <v>48</v>
      </c>
      <c r="C58" s="14">
        <f t="shared" si="6"/>
        <v>93</v>
      </c>
      <c r="D58" s="14">
        <f t="shared" si="2"/>
        <v>37</v>
      </c>
      <c r="E58" s="15">
        <v>78.7</v>
      </c>
      <c r="F58" s="14">
        <v>8</v>
      </c>
      <c r="G58" s="16">
        <v>8</v>
      </c>
      <c r="H58" s="14">
        <f t="shared" si="1"/>
        <v>7</v>
      </c>
      <c r="I58" s="15">
        <v>59.7</v>
      </c>
      <c r="J58" s="14">
        <v>10</v>
      </c>
      <c r="K58" s="16">
        <v>10</v>
      </c>
      <c r="L58" s="14">
        <f t="shared" si="3"/>
        <v>9</v>
      </c>
      <c r="M58" s="15">
        <v>50.1</v>
      </c>
      <c r="N58" s="14">
        <v>10</v>
      </c>
      <c r="O58" s="16">
        <v>10</v>
      </c>
      <c r="P58" s="14">
        <f t="shared" si="4"/>
        <v>7</v>
      </c>
      <c r="Q58" s="15">
        <v>43.6</v>
      </c>
      <c r="R58" s="14">
        <v>9</v>
      </c>
      <c r="S58" s="16">
        <v>9</v>
      </c>
      <c r="T58" s="14">
        <f t="shared" si="5"/>
        <v>4</v>
      </c>
    </row>
    <row r="59" spans="1:20">
      <c r="A59" s="13">
        <v>45998</v>
      </c>
      <c r="B59" s="14">
        <v>49</v>
      </c>
      <c r="C59" s="14">
        <f t="shared" si="6"/>
        <v>90</v>
      </c>
      <c r="D59" s="14">
        <f t="shared" si="2"/>
        <v>26</v>
      </c>
      <c r="E59" s="15">
        <v>74.599999999999994</v>
      </c>
      <c r="F59" s="14">
        <v>7</v>
      </c>
      <c r="G59" s="16">
        <v>4</v>
      </c>
      <c r="H59" s="14">
        <f t="shared" si="1"/>
        <v>8</v>
      </c>
      <c r="I59" s="15">
        <v>59.2</v>
      </c>
      <c r="J59" s="14">
        <v>10</v>
      </c>
      <c r="K59" s="16">
        <v>10</v>
      </c>
      <c r="L59" s="14">
        <f t="shared" si="3"/>
        <v>8</v>
      </c>
      <c r="M59" s="15">
        <v>52.9</v>
      </c>
      <c r="N59" s="14">
        <v>7</v>
      </c>
      <c r="O59" s="16">
        <v>7</v>
      </c>
      <c r="P59" s="14">
        <f t="shared" si="4"/>
        <v>6</v>
      </c>
      <c r="Q59" s="15">
        <v>45.1</v>
      </c>
      <c r="R59" s="14">
        <v>10</v>
      </c>
      <c r="S59" s="16">
        <v>5</v>
      </c>
      <c r="T59" s="14">
        <f t="shared" si="5"/>
        <v>12</v>
      </c>
    </row>
    <row r="60" spans="1:20">
      <c r="A60" s="13">
        <v>46005</v>
      </c>
      <c r="B60" s="14">
        <v>50</v>
      </c>
      <c r="C60" s="14">
        <f t="shared" si="6"/>
        <v>89</v>
      </c>
      <c r="D60" s="14">
        <f t="shared" si="2"/>
        <v>27</v>
      </c>
      <c r="E60" s="15">
        <v>73.2</v>
      </c>
      <c r="F60" s="14">
        <v>9</v>
      </c>
      <c r="G60" s="16">
        <v>9</v>
      </c>
      <c r="H60" s="14">
        <f t="shared" si="1"/>
        <v>4</v>
      </c>
      <c r="I60" s="15">
        <v>61.7</v>
      </c>
      <c r="J60" s="14">
        <v>6</v>
      </c>
      <c r="K60" s="16">
        <v>6</v>
      </c>
      <c r="L60" s="14">
        <f t="shared" si="3"/>
        <v>6</v>
      </c>
      <c r="M60" s="15">
        <v>54.5</v>
      </c>
      <c r="N60" s="14">
        <v>9</v>
      </c>
      <c r="O60" s="16">
        <v>9</v>
      </c>
      <c r="P60" s="14">
        <f t="shared" si="4"/>
        <v>8</v>
      </c>
      <c r="Q60" s="15">
        <v>46.9</v>
      </c>
      <c r="R60" s="14">
        <v>8</v>
      </c>
      <c r="S60" s="16">
        <v>3</v>
      </c>
      <c r="T60" s="14">
        <f t="shared" si="5"/>
        <v>7</v>
      </c>
    </row>
    <row r="61" spans="1:20">
      <c r="A61" s="13">
        <v>46012</v>
      </c>
      <c r="B61" s="14">
        <v>51</v>
      </c>
      <c r="C61" s="14">
        <f t="shared" si="6"/>
        <v>93</v>
      </c>
      <c r="D61" s="14">
        <f t="shared" si="2"/>
        <v>28</v>
      </c>
      <c r="E61" s="15">
        <v>79</v>
      </c>
      <c r="F61" s="14">
        <v>10</v>
      </c>
      <c r="G61" s="16">
        <v>10</v>
      </c>
      <c r="H61" s="14">
        <f t="shared" si="1"/>
        <v>9</v>
      </c>
      <c r="I61" s="15">
        <v>62.1</v>
      </c>
      <c r="J61" s="14">
        <v>6</v>
      </c>
      <c r="K61" s="16">
        <v>6</v>
      </c>
      <c r="L61" s="14">
        <f t="shared" si="3"/>
        <v>6</v>
      </c>
      <c r="M61" s="15">
        <v>55.4</v>
      </c>
      <c r="N61" s="14">
        <v>7</v>
      </c>
      <c r="O61" s="16">
        <v>7</v>
      </c>
      <c r="P61" s="14">
        <f t="shared" si="4"/>
        <v>9</v>
      </c>
      <c r="Q61" s="15">
        <v>46.4</v>
      </c>
      <c r="R61" s="14">
        <v>8</v>
      </c>
      <c r="S61" s="16">
        <v>5</v>
      </c>
      <c r="T61" s="14">
        <f t="shared" si="5"/>
        <v>7</v>
      </c>
    </row>
    <row r="62" spans="1:20" ht="15" customHeight="1">
      <c r="A62" s="13">
        <v>46019</v>
      </c>
      <c r="B62" s="14">
        <v>52</v>
      </c>
      <c r="C62" s="14">
        <f t="shared" si="6"/>
        <v>65</v>
      </c>
      <c r="D62" s="14">
        <f t="shared" si="2"/>
        <v>0</v>
      </c>
      <c r="E62" s="23" t="s">
        <v>24</v>
      </c>
      <c r="F62" s="24"/>
      <c r="G62" s="14"/>
      <c r="J62" s="14"/>
      <c r="K62" s="14"/>
      <c r="L62" s="14"/>
      <c r="M62" s="15"/>
      <c r="N62" s="14"/>
      <c r="O62" s="14"/>
      <c r="P62" s="14"/>
      <c r="Q62" s="15"/>
      <c r="R62" s="14"/>
      <c r="S62" s="14"/>
      <c r="T62" s="14"/>
    </row>
    <row r="64" spans="1:20">
      <c r="F64" s="18"/>
      <c r="G64" s="18"/>
      <c r="J64" s="18"/>
      <c r="K64" s="18"/>
      <c r="N64" s="18"/>
      <c r="O64" s="18"/>
      <c r="R64" s="18"/>
      <c r="S64" s="18"/>
    </row>
  </sheetData>
  <mergeCells count="7">
    <mergeCell ref="E62:F62"/>
    <mergeCell ref="A1:T1"/>
    <mergeCell ref="E8:H8"/>
    <mergeCell ref="I8:L8"/>
    <mergeCell ref="M8:P8"/>
    <mergeCell ref="Q8:T8"/>
    <mergeCell ref="E11:F11"/>
  </mergeCells>
  <conditionalFormatting sqref="E11 E62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AFFB-9966-314B-B9FC-C19614FAE969}">
  <dimension ref="A1:A12"/>
  <sheetViews>
    <sheetView topLeftCell="A5" zoomScale="110" zoomScaleNormal="110" workbookViewId="0">
      <selection activeCell="A12" sqref="A12"/>
    </sheetView>
  </sheetViews>
  <sheetFormatPr defaultColWidth="11" defaultRowHeight="15.5"/>
  <cols>
    <col min="1" max="1" width="133.61328125" customWidth="1"/>
  </cols>
  <sheetData>
    <row r="1" spans="1:1" ht="18.5">
      <c r="A1" s="1" t="s">
        <v>25</v>
      </c>
    </row>
    <row r="2" spans="1:1">
      <c r="A2" s="19"/>
    </row>
    <row r="3" spans="1:1" s="22" customFormat="1" ht="65.150000000000006" customHeight="1">
      <c r="A3" s="21" t="s">
        <v>26</v>
      </c>
    </row>
    <row r="4" spans="1:1" s="22" customFormat="1" ht="65.150000000000006" customHeight="1">
      <c r="A4" s="21" t="s">
        <v>27</v>
      </c>
    </row>
    <row r="5" spans="1:1" s="22" customFormat="1" ht="65.150000000000006" customHeight="1">
      <c r="A5" s="21" t="s">
        <v>28</v>
      </c>
    </row>
    <row r="6" spans="1:1" s="22" customFormat="1" ht="65.150000000000006" customHeight="1">
      <c r="A6" s="21" t="s">
        <v>29</v>
      </c>
    </row>
    <row r="7" spans="1:1" s="22" customFormat="1" ht="65.150000000000006" customHeight="1">
      <c r="A7" s="21" t="s">
        <v>30</v>
      </c>
    </row>
    <row r="8" spans="1:1" s="22" customFormat="1" ht="65.150000000000006" customHeight="1">
      <c r="A8" s="21" t="s">
        <v>31</v>
      </c>
    </row>
    <row r="9" spans="1:1" s="22" customFormat="1" ht="65.150000000000006" customHeight="1">
      <c r="A9" s="21" t="s">
        <v>32</v>
      </c>
    </row>
    <row r="10" spans="1:1" s="22" customFormat="1" ht="65.150000000000006" customHeight="1">
      <c r="A10" s="21" t="s">
        <v>33</v>
      </c>
    </row>
    <row r="11" spans="1:1">
      <c r="A11" s="20"/>
    </row>
    <row r="12" spans="1:1" ht="23.5">
      <c r="A12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Siamak Naderi (Alumni)</dc:creator>
  <cp:keywords/>
  <dc:description/>
  <cp:lastModifiedBy>Latham, Jo</cp:lastModifiedBy>
  <cp:revision/>
  <dcterms:created xsi:type="dcterms:W3CDTF">2026-02-20T12:09:20Z</dcterms:created>
  <dcterms:modified xsi:type="dcterms:W3CDTF">2026-02-23T14:00:55Z</dcterms:modified>
  <cp:category/>
  <cp:contentStatus/>
</cp:coreProperties>
</file>